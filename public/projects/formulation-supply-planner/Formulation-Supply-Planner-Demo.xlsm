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/>
  </mc:AlternateContent>
  <xr:revisionPtr revIDLastSave="0" documentId="13_ncr:1_{90DD0C4A-5B6A-4711-9B4B-B05D06B6342D}" xr6:coauthVersionLast="47" xr6:coauthVersionMax="47" xr10:uidLastSave="{00000000-0000-0000-0000-000000000000}"/>
  <bookViews>
    <workbookView xWindow="4860" yWindow="4635" windowWidth="21600" windowHeight="12645" xr2:uid="{00000000-000D-0000-FFFF-FFFF00000000}"/>
  </bookViews>
  <sheets>
    <sheet name="Supply Plan" sheetId="1" r:id="rId1"/>
    <sheet name="Cost Optimisation" sheetId="2" r:id="rId2"/>
    <sheet name="Scenario Comparison" sheetId="6" r:id="rId3"/>
    <sheet name="Other Stock" sheetId="3" r:id="rId4"/>
    <sheet name="Scenario Data" sheetId="7" state="veryHidden" r:id="rId5"/>
    <sheet name="Model" sheetId="4" state="veryHidden" r:id="rId6"/>
    <sheet name="Formulation Rules" sheetId="5" state="hidden" r:id="rId7"/>
  </sheets>
  <functionGroups builtInGroupCount="19"/>
  <definedNames>
    <definedName name="ScenarioLabels">'Scenario Data'!$B$4:$F$4</definedName>
    <definedName name="solver_adj" localSheetId="5" hidden="1">Model!$B$5:$B$10</definedName>
    <definedName name="solver_eng" localSheetId="5" hidden="1">2</definedName>
    <definedName name="solver_lhs1" localSheetId="5" hidden="1">Model!$B$5:$B$10</definedName>
    <definedName name="solver_lhs10" localSheetId="5" hidden="1">Model!$B$32</definedName>
    <definedName name="solver_lhs11" localSheetId="5" hidden="1">Model!$B$33</definedName>
    <definedName name="solver_lhs12" localSheetId="5" hidden="1">Model!$B$34</definedName>
    <definedName name="solver_lhs2" localSheetId="5" hidden="1">Model!$B$5:$B$10</definedName>
    <definedName name="solver_lhs3" localSheetId="5" hidden="1">Model!$B$20</definedName>
    <definedName name="solver_lhs4" localSheetId="5" hidden="1">Model!$B$21:$B$30</definedName>
    <definedName name="solver_lhs5" localSheetId="5" hidden="1">Model!$B$21:$B$30</definedName>
    <definedName name="solver_lhs6" localSheetId="5" hidden="1">Model!$B$31</definedName>
    <definedName name="solver_lhs7" localSheetId="5" hidden="1">Model!$B$32</definedName>
    <definedName name="solver_lhs8" localSheetId="5" hidden="1">Model!$B$33</definedName>
    <definedName name="solver_lhs9" localSheetId="5" hidden="1">Model!$B$34</definedName>
    <definedName name="solver_neg" localSheetId="5" hidden="1">1</definedName>
    <definedName name="solver_num" localSheetId="5" hidden="1">9</definedName>
    <definedName name="solver_opt" localSheetId="5" hidden="1">Model!$B$2</definedName>
    <definedName name="solver_rel1" localSheetId="5" hidden="1">3</definedName>
    <definedName name="solver_rel10" localSheetId="5" hidden="1">1</definedName>
    <definedName name="solver_rel11" localSheetId="5" hidden="1">3</definedName>
    <definedName name="solver_rel12" localSheetId="5" hidden="1">1</definedName>
    <definedName name="solver_rel2" localSheetId="5" hidden="1">1</definedName>
    <definedName name="solver_rel3" localSheetId="5" hidden="1">2</definedName>
    <definedName name="solver_rel4" localSheetId="5" hidden="1">3</definedName>
    <definedName name="solver_rel5" localSheetId="5" hidden="1">1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Model!$D$5:$D$10</definedName>
    <definedName name="solver_rhs10" localSheetId="5" hidden="1">0</definedName>
    <definedName name="solver_rhs11" localSheetId="5" hidden="1">0</definedName>
    <definedName name="solver_rhs12" localSheetId="5" hidden="1">0</definedName>
    <definedName name="solver_rhs2" localSheetId="5" hidden="1">Model!$E$5:$E$10</definedName>
    <definedName name="solver_rhs3" localSheetId="5" hidden="1">1000</definedName>
    <definedName name="solver_rhs4" localSheetId="5" hidden="1">Model!$C$21:$C$30</definedName>
    <definedName name="solver_rhs5" localSheetId="5" hidden="1">Model!$D$21:$D$30</definedName>
    <definedName name="solver_rhs6" localSheetId="5" hidden="1">0</definedName>
    <definedName name="solver_rhs7" localSheetId="5" hidden="1">0</definedName>
    <definedName name="solver_rhs8" localSheetId="5" hidden="1">0</definedName>
    <definedName name="solver_rhs9" localSheetId="5" hidden="1">0</definedName>
    <definedName name="solver_typ" localSheetId="5" hidden="1">2</definedName>
    <definedName name="solver_val" localSheetId="5" hidden="1">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B27" i="4"/>
  <c r="B26" i="4"/>
  <c r="B25" i="4"/>
  <c r="B24" i="4"/>
  <c r="B23" i="4"/>
  <c r="B22" i="4"/>
  <c r="B21" i="4"/>
  <c r="B30" i="4" s="1"/>
  <c r="C20" i="4"/>
  <c r="D20" i="4" s="1"/>
  <c r="B20" i="4"/>
  <c r="B19" i="4"/>
  <c r="C24" i="4" s="1"/>
  <c r="R10" i="4"/>
  <c r="Q10" i="4"/>
  <c r="R9" i="4"/>
  <c r="Q9" i="4"/>
  <c r="R8" i="4"/>
  <c r="Q8" i="4"/>
  <c r="R7" i="4"/>
  <c r="Q7" i="4"/>
  <c r="R6" i="4"/>
  <c r="Q6" i="4"/>
  <c r="R5" i="4"/>
  <c r="Q5" i="4"/>
  <c r="D8" i="6"/>
  <c r="D47" i="6" s="1"/>
  <c r="C8" i="6"/>
  <c r="C52" i="6" s="1"/>
  <c r="A7" i="6"/>
  <c r="B6" i="6"/>
  <c r="B8" i="6" s="1"/>
  <c r="C27" i="2"/>
  <c r="D27" i="2" s="1"/>
  <c r="G26" i="2"/>
  <c r="D26" i="2"/>
  <c r="B26" i="2"/>
  <c r="F26" i="2" s="1"/>
  <c r="G25" i="2"/>
  <c r="F25" i="2"/>
  <c r="D25" i="2"/>
  <c r="B25" i="2"/>
  <c r="G24" i="2"/>
  <c r="D24" i="2"/>
  <c r="B24" i="2"/>
  <c r="F24" i="2" s="1"/>
  <c r="G23" i="2"/>
  <c r="F23" i="2"/>
  <c r="D23" i="2"/>
  <c r="B23" i="2"/>
  <c r="G22" i="2"/>
  <c r="D22" i="2"/>
  <c r="B22" i="2"/>
  <c r="F22" i="2" s="1"/>
  <c r="G21" i="2"/>
  <c r="D21" i="2"/>
  <c r="B21" i="2"/>
  <c r="F21" i="2" s="1"/>
  <c r="G20" i="2"/>
  <c r="F20" i="2"/>
  <c r="D20" i="2"/>
  <c r="B20" i="2"/>
  <c r="G19" i="2"/>
  <c r="D19" i="2"/>
  <c r="B19" i="2"/>
  <c r="F19" i="2" s="1"/>
  <c r="G18" i="2"/>
  <c r="F18" i="2"/>
  <c r="D18" i="2"/>
  <c r="B18" i="2"/>
  <c r="G17" i="2"/>
  <c r="D17" i="2"/>
  <c r="B17" i="2"/>
  <c r="F17" i="2" s="1"/>
  <c r="G16" i="2"/>
  <c r="F16" i="2"/>
  <c r="D16" i="2"/>
  <c r="B16" i="2"/>
  <c r="G15" i="2"/>
  <c r="D15" i="2"/>
  <c r="B15" i="2"/>
  <c r="B27" i="2" s="1"/>
  <c r="C27" i="1"/>
  <c r="D27" i="1" s="1"/>
  <c r="D26" i="1"/>
  <c r="B26" i="1"/>
  <c r="D25" i="1"/>
  <c r="B25" i="1"/>
  <c r="D24" i="1"/>
  <c r="B24" i="1"/>
  <c r="D23" i="1"/>
  <c r="B23" i="1"/>
  <c r="D22" i="1"/>
  <c r="B22" i="1"/>
  <c r="D21" i="1"/>
  <c r="B21" i="1"/>
  <c r="D20" i="1"/>
  <c r="B20" i="1"/>
  <c r="D19" i="1"/>
  <c r="B19" i="1"/>
  <c r="D18" i="1"/>
  <c r="B18" i="1"/>
  <c r="D17" i="1"/>
  <c r="B17" i="1"/>
  <c r="B27" i="1" s="1"/>
  <c r="D16" i="1"/>
  <c r="B16" i="1"/>
  <c r="D15" i="1"/>
  <c r="B15" i="1"/>
  <c r="G27" i="2" l="1"/>
  <c r="F7" i="2" s="1"/>
  <c r="B28" i="4"/>
  <c r="B42" i="4" s="1"/>
  <c r="B57" i="6"/>
  <c r="B41" i="6"/>
  <c r="B25" i="6"/>
  <c r="B47" i="6"/>
  <c r="B29" i="6"/>
  <c r="B14" i="6"/>
  <c r="B46" i="6"/>
  <c r="B28" i="6"/>
  <c r="B32" i="6"/>
  <c r="B15" i="6"/>
  <c r="B52" i="6"/>
  <c r="B36" i="6"/>
  <c r="B19" i="6"/>
  <c r="B56" i="6"/>
  <c r="B40" i="6"/>
  <c r="B24" i="6"/>
  <c r="B51" i="6"/>
  <c r="B35" i="6"/>
  <c r="B18" i="6"/>
  <c r="B13" i="6"/>
  <c r="B55" i="6"/>
  <c r="B39" i="6"/>
  <c r="B23" i="6"/>
  <c r="B50" i="6"/>
  <c r="B34" i="6"/>
  <c r="B17" i="6"/>
  <c r="B43" i="6"/>
  <c r="B27" i="6"/>
  <c r="B12" i="6"/>
  <c r="B20" i="6"/>
  <c r="B48" i="6"/>
  <c r="B54" i="6"/>
  <c r="B38" i="6"/>
  <c r="B21" i="6"/>
  <c r="B49" i="6"/>
  <c r="B33" i="6"/>
  <c r="B16" i="6"/>
  <c r="B42" i="6"/>
  <c r="B26" i="6"/>
  <c r="B11" i="6"/>
  <c r="B53" i="6"/>
  <c r="B37" i="6"/>
  <c r="D24" i="4"/>
  <c r="C29" i="4"/>
  <c r="D29" i="4"/>
  <c r="C15" i="6"/>
  <c r="D25" i="6"/>
  <c r="D41" i="6"/>
  <c r="D57" i="6"/>
  <c r="F15" i="2"/>
  <c r="F27" i="2" s="1"/>
  <c r="D7" i="2" s="1"/>
  <c r="D15" i="6"/>
  <c r="C20" i="6"/>
  <c r="D32" i="6"/>
  <c r="C37" i="6"/>
  <c r="D48" i="6"/>
  <c r="C53" i="6"/>
  <c r="C11" i="6"/>
  <c r="D20" i="6"/>
  <c r="C26" i="6"/>
  <c r="D37" i="6"/>
  <c r="C42" i="6"/>
  <c r="D53" i="6"/>
  <c r="D11" i="6"/>
  <c r="C16" i="6"/>
  <c r="D26" i="6"/>
  <c r="C33" i="6"/>
  <c r="D42" i="6"/>
  <c r="C49" i="6"/>
  <c r="C25" i="4"/>
  <c r="D25" i="4"/>
  <c r="C30" i="4"/>
  <c r="D30" i="4"/>
  <c r="D16" i="6"/>
  <c r="C21" i="6"/>
  <c r="D33" i="6"/>
  <c r="C38" i="6"/>
  <c r="D49" i="6"/>
  <c r="C54" i="6"/>
  <c r="C12" i="6"/>
  <c r="D21" i="6"/>
  <c r="C27" i="6"/>
  <c r="D38" i="6"/>
  <c r="C43" i="6"/>
  <c r="D54" i="6"/>
  <c r="C21" i="4"/>
  <c r="D12" i="6"/>
  <c r="C17" i="6"/>
  <c r="D27" i="6"/>
  <c r="C34" i="6"/>
  <c r="D43" i="6"/>
  <c r="C50" i="6"/>
  <c r="D21" i="4"/>
  <c r="C26" i="4"/>
  <c r="D26" i="4"/>
  <c r="B32" i="4"/>
  <c r="D19" i="6"/>
  <c r="D36" i="6"/>
  <c r="D52" i="6"/>
  <c r="C48" i="6"/>
  <c r="C55" i="6"/>
  <c r="D23" i="6"/>
  <c r="D39" i="6"/>
  <c r="D55" i="6"/>
  <c r="C22" i="4"/>
  <c r="D13" i="6"/>
  <c r="C18" i="6"/>
  <c r="D28" i="6"/>
  <c r="C35" i="6"/>
  <c r="D46" i="6"/>
  <c r="C51" i="6"/>
  <c r="D22" i="4"/>
  <c r="C27" i="4"/>
  <c r="D27" i="4"/>
  <c r="C14" i="6"/>
  <c r="D24" i="6"/>
  <c r="C29" i="6"/>
  <c r="D40" i="6"/>
  <c r="C47" i="6"/>
  <c r="D56" i="6"/>
  <c r="C23" i="4"/>
  <c r="C25" i="6"/>
  <c r="C41" i="6"/>
  <c r="C57" i="6"/>
  <c r="C32" i="6"/>
  <c r="D17" i="6"/>
  <c r="C23" i="6"/>
  <c r="D34" i="6"/>
  <c r="C39" i="6"/>
  <c r="D50" i="6"/>
  <c r="C13" i="6"/>
  <c r="C28" i="6"/>
  <c r="C46" i="6"/>
  <c r="D18" i="6"/>
  <c r="C24" i="6"/>
  <c r="D35" i="6"/>
  <c r="C40" i="6"/>
  <c r="D51" i="6"/>
  <c r="C56" i="6"/>
  <c r="D14" i="6"/>
  <c r="C19" i="6"/>
  <c r="D29" i="6"/>
  <c r="C36" i="6"/>
  <c r="D23" i="4"/>
  <c r="C28" i="4"/>
  <c r="D28" i="4"/>
  <c r="B43" i="4"/>
  <c r="B29" i="4"/>
  <c r="B41" i="4" s="1"/>
  <c r="D9" i="2" l="1"/>
  <c r="G11" i="2" s="1"/>
  <c r="B40" i="4"/>
  <c r="B31" i="4"/>
  <c r="B34" i="4"/>
  <c r="B44" i="4"/>
  <c r="B33" i="4"/>
  <c r="F9" i="2" l="1"/>
</calcChain>
</file>

<file path=xl/sharedStrings.xml><?xml version="1.0" encoding="utf-8"?>
<sst xmlns="http://schemas.openxmlformats.org/spreadsheetml/2006/main" count="408" uniqueCount="250">
  <si>
    <t>Enter volume and stock, then click Calculate.</t>
  </si>
  <si>
    <t>Planned production (MT)</t>
  </si>
  <si>
    <t>Available D90 (kg)</t>
  </si>
  <si>
    <t>Available WPC80 (kg)</t>
  </si>
  <si>
    <t>Gold fields are editable. Inputs apply to this tab only.</t>
  </si>
  <si>
    <t>Usage = original recipe dosage x planned MT. No moisture/yield uplift.</t>
  </si>
  <si>
    <t>Ingredient</t>
  </si>
  <si>
    <t>Original Usage (kg)</t>
  </si>
  <si>
    <t>Optimised Usage (kg)</t>
  </si>
  <si>
    <t>Difference (kg)</t>
  </si>
  <si>
    <t>D90</t>
  </si>
  <si>
    <t>WPC80</t>
  </si>
  <si>
    <t>Lactose</t>
  </si>
  <si>
    <t>SMP</t>
  </si>
  <si>
    <t>WMP</t>
  </si>
  <si>
    <t>Vegetable oil</t>
  </si>
  <si>
    <t>Total ingredient input</t>
  </si>
  <si>
    <t>Formulation check</t>
  </si>
  <si>
    <t>Target</t>
  </si>
  <si>
    <t>Result</t>
  </si>
  <si>
    <t>Check</t>
  </si>
  <si>
    <t>Protein (%)</t>
  </si>
  <si>
    <t>Fat (%)</t>
  </si>
  <si>
    <t>Whey / total protein</t>
  </si>
  <si>
    <t>Milk fat (%)</t>
  </si>
  <si>
    <t>Milk / total fat</t>
  </si>
  <si>
    <t>Optional ingredient limits: Other Stock, Supply Plan column. Blank means unrestricted.</t>
  </si>
  <si>
    <t>1 MT uses the original 1,000 kg ingredient-input recipe directly.</t>
  </si>
  <si>
    <t>Enter volume, stock and prices, then click Cost Optimisation.</t>
  </si>
  <si>
    <t>ORIGINAL COST ($/MT)</t>
  </si>
  <si>
    <t>OPTIMISED COST ($/MT)</t>
  </si>
  <si>
    <t>SAVING ($/MT)</t>
  </si>
  <si>
    <t>TOTAL SAVING ($)</t>
  </si>
  <si>
    <t>Inputs apply to this tab only.</t>
  </si>
  <si>
    <t>Saving (%)</t>
  </si>
  <si>
    <t>Cost ($/kg)</t>
  </si>
  <si>
    <t>Original Cost ($)</t>
  </si>
  <si>
    <t>Optimised Cost ($)</t>
  </si>
  <si>
    <t>Optional ingredient limits: Other Stock, Cost Optimisation column. Blank means unrestricted.</t>
  </si>
  <si>
    <t>Latest / compare with</t>
  </si>
  <si>
    <t>Saved inputs and results</t>
  </si>
  <si>
    <t>Latest saved</t>
  </si>
  <si>
    <t>Compare with</t>
  </si>
  <si>
    <t>Scenario name</t>
  </si>
  <si>
    <t>Saved date / time</t>
  </si>
  <si>
    <t>Optimisation mode</t>
  </si>
  <si>
    <t>Production (MT)</t>
  </si>
  <si>
    <t>Original cost ($/MT)</t>
  </si>
  <si>
    <t>Optimised cost ($/MT)</t>
  </si>
  <si>
    <t>Saving ($/MT)</t>
  </si>
  <si>
    <t>Total saving ($)</t>
  </si>
  <si>
    <t>D90 demand (kg)</t>
  </si>
  <si>
    <t>WPC80 demand (kg)</t>
  </si>
  <si>
    <t>Lactose demand (kg)</t>
  </si>
  <si>
    <t>D90 stock remaining (kg)</t>
  </si>
  <si>
    <t>WPC80 stock remaining (kg)</t>
  </si>
  <si>
    <t>Total ingredient demand (kg)</t>
  </si>
  <si>
    <t>Stock position</t>
  </si>
  <si>
    <t>Ingredient demand (kg)</t>
  </si>
  <si>
    <t>Difference from original (kg)</t>
  </si>
  <si>
    <t>Demand is for the saved production volume. Nutritional constraints remain enforced in the optimiser.</t>
  </si>
  <si>
    <t>Supply Plan stock (kg)</t>
  </si>
  <si>
    <t>Cost Optimisation stock (kg)</t>
  </si>
  <si>
    <t>Each stock column applies only to its named optimisation tab.</t>
  </si>
  <si>
    <t>Record ID</t>
  </si>
  <si>
    <t>Next record ID</t>
  </si>
  <si>
    <t>Saved timestamp</t>
  </si>
  <si>
    <t>Mode</t>
  </si>
  <si>
    <t>Dropdown label</t>
  </si>
  <si>
    <t>Production MT</t>
  </si>
  <si>
    <t>D90 stock kg</t>
  </si>
  <si>
    <t>WPC80 stock kg</t>
  </si>
  <si>
    <t>Original $/MT</t>
  </si>
  <si>
    <t>Optimised $/MT</t>
  </si>
  <si>
    <t>Saving $/MT</t>
  </si>
  <si>
    <t>Total saving $</t>
  </si>
  <si>
    <t>Saving %</t>
  </si>
  <si>
    <t>Protein %</t>
  </si>
  <si>
    <t>Fat %</t>
  </si>
  <si>
    <t>Milk fat %</t>
  </si>
  <si>
    <t>Minimum whey ratio</t>
  </si>
  <si>
    <t>Maximum whey ratio</t>
  </si>
  <si>
    <t>Ingredient input kg</t>
  </si>
  <si>
    <t>D90 - Original kg</t>
  </si>
  <si>
    <t>WPC80 - Original kg</t>
  </si>
  <si>
    <t>Lactose - Original kg</t>
  </si>
  <si>
    <t>SMP - Original kg</t>
  </si>
  <si>
    <t>WMP - Original kg</t>
  </si>
  <si>
    <t>Vegetable oil - Original kg</t>
  </si>
  <si>
    <t>D90 - Optimised kg</t>
  </si>
  <si>
    <t>WPC80 - Optimised kg</t>
  </si>
  <si>
    <t>Lactose - Optimised kg</t>
  </si>
  <si>
    <t>SMP - Optimised kg</t>
  </si>
  <si>
    <t>WMP - Optimised kg</t>
  </si>
  <si>
    <t>Vegetable oil - Optimised kg</t>
  </si>
  <si>
    <t>D90 - Difference kg</t>
  </si>
  <si>
    <t>WPC80 - Difference kg</t>
  </si>
  <si>
    <t>Lactose - Difference kg</t>
  </si>
  <si>
    <t>SMP - Difference kg</t>
  </si>
  <si>
    <t>WMP - Difference kg</t>
  </si>
  <si>
    <t>Vegetable oil - Difference kg</t>
  </si>
  <si>
    <t>D90 - Price $/kg</t>
  </si>
  <si>
    <t>WPC80 - Price $/kg</t>
  </si>
  <si>
    <t>Lactose - Price $/kg</t>
  </si>
  <si>
    <t>SMP - Price $/kg</t>
  </si>
  <si>
    <t>WMP - Price $/kg</t>
  </si>
  <si>
    <t>Vegetable oil - Price $/kg</t>
  </si>
  <si>
    <t>D90 - Stock kg</t>
  </si>
  <si>
    <t>WPC80 - Stock kg</t>
  </si>
  <si>
    <t>Lactose - Stock kg</t>
  </si>
  <si>
    <t>SMP - Stock kg</t>
  </si>
  <si>
    <t>WMP - Stock kg</t>
  </si>
  <si>
    <t>Vegetable oil - Stock kg</t>
  </si>
  <si>
    <t>Nutrient 1 target</t>
  </si>
  <si>
    <t>Nutrient 2 target</t>
  </si>
  <si>
    <t>Nutrient 3 target</t>
  </si>
  <si>
    <t>Nutrient 4 target</t>
  </si>
  <si>
    <t>Nutrient 5 target</t>
  </si>
  <si>
    <t>Nutrient 6 target</t>
  </si>
  <si>
    <t>Nutrient 7 target</t>
  </si>
  <si>
    <t>Nutrient 8 target</t>
  </si>
  <si>
    <t>Nutrient 9 target</t>
  </si>
  <si>
    <t>Nutrient 10 target</t>
  </si>
  <si>
    <t>Nutrient 1 tolerance</t>
  </si>
  <si>
    <t>Nutrient 2 tolerance</t>
  </si>
  <si>
    <t>Nutrient 3 tolerance</t>
  </si>
  <si>
    <t>Nutrient 4 tolerance</t>
  </si>
  <si>
    <t>Nutrient 5 tolerance</t>
  </si>
  <si>
    <t>Nutrient 6 tolerance</t>
  </si>
  <si>
    <t>Nutrient 7 tolerance</t>
  </si>
  <si>
    <t>Nutrient 8 tolerance</t>
  </si>
  <si>
    <t>Nutrient 9 tolerance</t>
  </si>
  <si>
    <t>Nutrient 10 tolerance</t>
  </si>
  <si>
    <t>D90 minimum</t>
  </si>
  <si>
    <t>WPC80 minimum</t>
  </si>
  <si>
    <t>Lactose minimum</t>
  </si>
  <si>
    <t>SMP minimum</t>
  </si>
  <si>
    <t>WMP minimum</t>
  </si>
  <si>
    <t>Vegetable oil minimum</t>
  </si>
  <si>
    <t>D90 maximum</t>
  </si>
  <si>
    <t>WPC80 maximum</t>
  </si>
  <si>
    <t>Lactose maximum</t>
  </si>
  <si>
    <t>SMP maximum</t>
  </si>
  <si>
    <t>WMP maximum</t>
  </si>
  <si>
    <t>Vegetable oil maximum</t>
  </si>
  <si>
    <t>Calculation fingerprint</t>
  </si>
  <si>
    <t>Nutrient 1 result</t>
  </si>
  <si>
    <t>Nutrient 2 result</t>
  </si>
  <si>
    <t>Nutrient 3 result</t>
  </si>
  <si>
    <t>Nutrient 4 result</t>
  </si>
  <si>
    <t>Nutrient 5 result</t>
  </si>
  <si>
    <t>Nutrient 6 result</t>
  </si>
  <si>
    <t>Nutrient 7 result</t>
  </si>
  <si>
    <t>Nutrient 8 result</t>
  </si>
  <si>
    <t>Nutrient 9 result</t>
  </si>
  <si>
    <t>Nutrient 10 result</t>
  </si>
  <si>
    <t>Minimum milk-fat ratio</t>
  </si>
  <si>
    <t>Maximum milk-fat ratio</t>
  </si>
  <si>
    <t>Time zone</t>
  </si>
  <si>
    <t>Objective</t>
  </si>
  <si>
    <t>Decision kg/MT</t>
  </si>
  <si>
    <t>Original kg/MT</t>
  </si>
  <si>
    <t>Lower</t>
  </si>
  <si>
    <t>Upper</t>
  </si>
  <si>
    <t>Price</t>
  </si>
  <si>
    <t>TS</t>
  </si>
  <si>
    <t>Carb</t>
  </si>
  <si>
    <t>Casein</t>
  </si>
  <si>
    <t>Whey</t>
  </si>
  <si>
    <t>Milk fat</t>
  </si>
  <si>
    <t>Veg fat</t>
  </si>
  <si>
    <t>Ash</t>
  </si>
  <si>
    <t>Abs change</t>
  </si>
  <si>
    <t>Weight</t>
  </si>
  <si>
    <t>Composition solids (kg)</t>
  </si>
  <si>
    <t>Recipe ingredient input (kg)</t>
  </si>
  <si>
    <t>Other carbohydrate</t>
  </si>
  <si>
    <t>Vegetable fat</t>
  </si>
  <si>
    <t>Total protein</t>
  </si>
  <si>
    <t>Total fat</t>
  </si>
  <si>
    <t>Total carbohydrate</t>
  </si>
  <si>
    <t>PUBLIC DEMO — all quantities, compositions, prices, stock and targets are fictional.
Entered availability only. No live inventory feed. Not for manufacturing.</t>
  </si>
  <si>
    <t>Mineral blend</t>
  </si>
  <si>
    <t>Vitamin blend</t>
  </si>
  <si>
    <t>Selenium blend</t>
  </si>
  <si>
    <t>Calcium neutraliser</t>
  </si>
  <si>
    <t>Potassium neutraliser</t>
  </si>
  <si>
    <t>GOS syrup</t>
  </si>
  <si>
    <t>Demo bounds: nutrients +/- 0.20 pp; whey / protein 62.0%-63.5%; milk / fat 15%-18%.</t>
  </si>
  <si>
    <t>Desktop Excel, macros and Excel Solver required. Inspect VBA before enabling macros.</t>
  </si>
  <si>
    <t>Fictional demo. Latest saved snapshot refreshes automatically; choose older records in the dropdowns.</t>
  </si>
  <si>
    <t>Fictional stock inputs. Blank means unlimited; zero means no available stock.</t>
  </si>
  <si>
    <t>Mineral blend - Original kg</t>
  </si>
  <si>
    <t>Vitamin blend - Original kg</t>
  </si>
  <si>
    <t>Selenium blend - Original kg</t>
  </si>
  <si>
    <t>Calcium neutraliser - Original kg</t>
  </si>
  <si>
    <t>Potassium neutraliser - Original kg</t>
  </si>
  <si>
    <t>GOS syrup - Original kg</t>
  </si>
  <si>
    <t>Mineral blend - Optimised kg</t>
  </si>
  <si>
    <t>Vitamin blend - Optimised kg</t>
  </si>
  <si>
    <t>Selenium blend - Optimised kg</t>
  </si>
  <si>
    <t>Calcium neutraliser - Optimised kg</t>
  </si>
  <si>
    <t>Potassium neutraliser - Optimised kg</t>
  </si>
  <si>
    <t>GOS syrup - Optimised kg</t>
  </si>
  <si>
    <t>Mineral blend - Difference kg</t>
  </si>
  <si>
    <t>Vitamin blend - Difference kg</t>
  </si>
  <si>
    <t>Selenium blend - Difference kg</t>
  </si>
  <si>
    <t>Calcium neutraliser - Difference kg</t>
  </si>
  <si>
    <t>Potassium neutraliser - Difference kg</t>
  </si>
  <si>
    <t>GOS syrup - Difference kg</t>
  </si>
  <si>
    <t>Mineral blend - Price $/kg</t>
  </si>
  <si>
    <t>Vitamin blend - Price $/kg</t>
  </si>
  <si>
    <t>Selenium blend - Price $/kg</t>
  </si>
  <si>
    <t>Calcium neutraliser - Price $/kg</t>
  </si>
  <si>
    <t>Potassium neutraliser - Price $/kg</t>
  </si>
  <si>
    <t>GOS syrup - Price $/kg</t>
  </si>
  <si>
    <t>Mineral blend - Stock kg</t>
  </si>
  <si>
    <t>Vitamin blend - Stock kg</t>
  </si>
  <si>
    <t>Selenium blend - Stock kg</t>
  </si>
  <si>
    <t>Calcium neutraliser - Stock kg</t>
  </si>
  <si>
    <t>Potassium neutraliser - Stock kg</t>
  </si>
  <si>
    <t>GOS syrup - Stock kg</t>
  </si>
  <si>
    <t>Public demo formulation rules — fictional data</t>
  </si>
  <si>
    <t>Measure</t>
  </si>
  <si>
    <t>Demo target</t>
  </si>
  <si>
    <t>Tolerance</t>
  </si>
  <si>
    <t>Basis</t>
  </si>
  <si>
    <t>Illustrative g/100 g</t>
  </si>
  <si>
    <t>Illustrative ratio</t>
  </si>
  <si>
    <t>Normalised powder basis</t>
  </si>
  <si>
    <t>Demonstration only</t>
  </si>
  <si>
    <t>Hard demo floor</t>
  </si>
  <si>
    <t>Min kg/MT</t>
  </si>
  <si>
    <t>Max kg/MT</t>
  </si>
  <si>
    <t>Fixed?</t>
  </si>
  <si>
    <t>No</t>
  </si>
  <si>
    <t>Yes</t>
  </si>
  <si>
    <t>Source: entirely fictional demonstration dataset, created for the public portfolio.</t>
  </si>
  <si>
    <t>Supply: minimise weighted changes, subject to entered stock and demo formulation bounds.</t>
  </si>
  <si>
    <t>Cost: minimise ingredient cost, subject to the same entered stock and demo bounds.</t>
  </si>
  <si>
    <t>No live inventory connection. User-entered availability only.</t>
  </si>
  <si>
    <t>Not a production recipe, nutritional recommendation or regulatory specification.</t>
  </si>
  <si>
    <t>Within range</t>
  </si>
  <si>
    <t>Stock plan calculated | 01 Oct 15:05</t>
  </si>
  <si>
    <t>Supply Plan</t>
  </si>
  <si>
    <t>Australia/Sydney</t>
  </si>
  <si>
    <t>Supply Plan|2:10|4:2400|3:900|4:3000|4:2400|4:-600|3:350|15:434.66015027638|5:84.66|4:1750|15:2250.0602290282|6:500.06|3:700|3:700|1:0|4:1400|4:1400|1:0|4:2200|16:2215.27962069542|5:15.28|3:180|3:180|1:0|2:30|2:30|1:0|3:0.2|3:0.2|1:0|1:4|1:4|1:0|1:4|1:4|1:0|5:381.8|5:381.8|1:0|16:12.7365090187695|12:Within range|16:27.0866081656454|12:Within range|4:0.62|12:Within range|16:4.56208511969646|12:Within range|17:0.168425854274463|12:Within range|0:|0:|0:|0:|0:|0:|0:|0:|0:|0:|16:52.0441615245325|3:0.2|16:2.21134731241752|3:0.2|16:4.83674432609495|3:0.2|16:7.99942640907194|3:0.2|16:4.53190749882005|3:0.2|16:22.3547006668254|3:0.2|16:4.02171226223764|3:0.2|16:12.8361707351669|3:0.2|16:26.8866081656454|3:0.2|14:54.25550883695|3:0.2|0:|0:|17:0.623194142093806|5:0.007|17:0.168556311413454|5:0.015|4:0.02|1:0|4:0.62|1:0|1:0|4:1000|1:0|3:150|1:0|3:500|2:35|3:105|2:70|3:210|3:187|3:253|2:18|2:18|1:3|1:3|4:0.02|4:0.02|3:0.4|3:0.4|3:0.4|3:0.4|5:38.18|5:38.18|3:300|1:0|2:35|1:0|3:175|1:0|2:70|2:35|3:140|2:70|3:220|3:187|2:18|2:18|1:3|1:3|4:0.02|4:0.02|3:0.4|3:0.4|3:0.4|3:0.4|5:38.18|5:38.18|4:0.97|4:0.83|1:0|1:0|4:0.13|5:0.004|1:0|5:0.006|4:0.95|5:0.075|1:0|1:0|4:0.79|4:0.06|1:0|5:0.025|4:0.96|5:0.958|1:0|1:0|5:0.001|1:0|1:0|5:0.001|4:0.96|3:0.5|1:0|4:0.28|4:0.07|4:0.01|1:0|3:0.1|4:0.97|4:0.37|1:0|3:0.2|4:0.05|4:0.29|1:0|4:0.06|1:1|1:0|1:0|1:0|1:0|1:0|1:1|1:0|4:0.96|1:0|1:0|1:0|1:0|1:0|1:0|4:0.96|4:0.96|1:0|1:0|1:0|1:0|1:0|1:0|4:0.96|4:0.96|1:0|1:0|1:0|1:0|1:0|1:0|4:0.96|4:0.96|1:0|1:0|1:0|1:0|1:0|1:0|4:0.96|4:0.96|1:0|1:0|1:0|1:0|1:0|1:0|4:0.96|4:0.74|4:0.16|4:0.57|1:0|1:0|1:0|1:0|4:0.01|12:=SUM(B5:B16)|12:=SUM(C5:C16)|55:=('Formulation Rules'!B5-'Formulation Rules'!C5)*B19/98|55:=('Formulation Rules'!B5+'Formulation Rules'!C5)*B19/98|55:=('Formulation Rules'!B6-'Formulation Rules'!C6)*B19/98|55:=('Formulation Rules'!B6+'Formulation Rules'!C6)*B19/98|55:=('Formulation Rules'!B7-'Formulation Rules'!C7)*B19/98|55:=('Formulation Rules'!B7+'Formulation Rules'!C7)*B19/98|55:=('Formulation Rules'!B8-'Formulation Rules'!C8)*B19/98|55:=('Formulation Rules'!B8+'Formulation Rules'!C8)*B19/98|55:=('Formulation Rules'!B9-'Formulation Rules'!C9)*B19/98|55:=('Formulation Rules'!B9+'Formulation Rules'!C9)*B19/98|57:=('Formulation Rules'!B10-'Formulation Rules'!C10)*B19/98|57:=('Formulation Rules'!B10+'Formulation Rules'!C10)*B19/98|57:=('Formulation Rules'!B11-'Formulation Rules'!C11)*B19/98|57:=('Formulation Rules'!B11+'Formulation Rules'!C11)*B19/98|57:=('Formulation Rules'!B12-'Formulation Rules'!C12)*B19/98|57:=('Formulation Rules'!B12+'Formulation Rules'!C12)*B19/98|57:=('Formulation Rules'!B13-'Formulation Rules'!C13)*B19/98|57:=('Formulation Rules'!B13+'Formulation Rules'!C13)*B19/98|57:=('Formulation Rules'!B14-'Formulation Rules'!C14)*B19/98|57:=('Formulation Rules'!B14+'Formulation Rules'!C14)*B19/98|32:=B24-'Formulation Rules'!B19*B28|14:=B24-0.635*B28|13:=B25-0.15*B29|13:=B25-0.18*B29</t>
  </si>
  <si>
    <t>Lowest-cost feasible formulation | 01 Oct 15:05</t>
  </si>
  <si>
    <t>Cost Optimisation</t>
  </si>
  <si>
    <t>Cost Optimisation|2:10|4:2400|3:900|4:3000|1:0|5:-3000|3:350|16:817.911841185402|7:467.912|4:1750|16:4323.81465180052|8:2573.815|3:700|16:768.377338560489|6:68.377|4:1400|15:1278.3687192681|8:-121.631|4:2200|16:2211.52744918549|6:11.527|3:180|3:180|1:0|2:30|2:30|1:0|3:0.2|3:0.2|1:0|1:4|1:4|1:0|1:4|1:4|1:0|5:381.8|5:381.8|1:0|16:12.6361707351668|12:Within range|16:26.9144953058974|12:Within range|4:0.62|12:Within range|16:4.35979463907204|12:Within range|17:0.161986862080105|12:Within range|3:3.2|4:11.5|3:1.6|3:3.8|3:4.5|3:2.4|1:8|2:15|2:20|3:1.2|3:1.5|3:2.8|0:|0:|0:|0:|0:|0:|0:|0:|0:|0:|16:52.0441615245325|3:0.2|16:2.21134731241752|3:0.2|16:4.83674432609495|3:0.2|16:7.99942640907194|3:0.2|16:4.53190749882005|3:0.2|16:22.3547006668254|3:0.2|16:4.02171226223764|3:0.2|16:12.8361707351669|3:0.2|16:26.8866081656454|3:0.2|14:54.25550883695|3:0.2|0:|0:|17:0.623194142093806|5:0.007|17:0.168556311413454|5:0.015|4:0.02|1:0|4:0.62|1:0|1:0|4:1000|1:0|3:150|1:0|3:500|2:35|3:105|2:70|3:210|3:187|3:253|2:18|2:18|1:3|1:3|4:0.02|4:0.02|3:0.4|3:0.4|3:0.4|3:0.4|5:38.18|5:38.18|3:300|1:0|2:35|1:0|3:175|1:0|2:70|2:35|3:140|2:70|3:220|3:187|2:18|2:18|1:3|1:3|4:0.02|4:0.02|3:0.4|3:0.4|3:0.4|3:0.4|5:38.18|5:38.18|4:0.97|4:0.83|1:0|1:0|4:0.13|5:0.004|1:0|5:0.006|4:0.95|5:0.075|1:0|1:0|4:0.79|4:0.06|1:0|5:0.025|4:0.96|5:0.958|1:0|1:0|5:0.001|1:0|1:0|5:0.001|4:0.96|3:0.5|1:0|4:0.28|4:0.07|4:0.01|1:0|3:0.1|4:0.97|4:0.37|1:0|3:0.2|4:0.05|4:0.29|1:0|4:0.06|1:1|1:0|1:0|1:0|1:0|1:0|1:1|1:0|4:0.96|1:0|1:0|1:0|1:0|1:0|1:0|4:0.96|4:0.96|1:0|1:0|1:0|1:0|1:0|1:0|4:0.96|4:0.96|1:0|1:0|1:0|1:0|1:0|1:0|4:0.96|4:0.96|1:0|1:0|1:0|1:0|1:0|1:0|4:0.96|4:0.96|1:0|1:0|1:0|1:0|1:0|1:0|4:0.96|4:0.74|4:0.16|4:0.57|1:0|1:0|1:0|1:0|4:0.01|12:=SUM(B5:B16)|12:=SUM(C5:C16)|55:=('Formulation Rules'!B5-'Formulation Rules'!C5)*B19/98|55:=('Formulation Rules'!B5+'Formulation Rules'!C5)*B19/98|55:=('Formulation Rules'!B6-'Formulation Rules'!C6)*B19/98|55:=('Formulation Rules'!B6+'Formulation Rules'!C6)*B19/98|55:=('Formulation Rules'!B7-'Formulation Rules'!C7)*B19/98|55:=('Formulation Rules'!B7+'Formulation Rules'!C7)*B19/98|55:=('Formulation Rules'!B8-'Formulation Rules'!C8)*B19/98|55:=('Formulation Rules'!B8+'Formulation Rules'!C8)*B19/98|55:=('Formulation Rules'!B9-'Formulation Rules'!C9)*B19/98|55:=('Formulation Rules'!B9+'Formulation Rules'!C9)*B19/98|57:=('Formulation Rules'!B10-'Formulation Rules'!C10)*B19/98|57:=('Formulation Rules'!B10+'Formulation Rules'!C10)*B19/98|57:=('Formulation Rules'!B11-'Formulation Rules'!C11)*B19/98|57:=('Formulation Rules'!B11+'Formulation Rules'!C11)*B19/98|57:=('Formulation Rules'!B12-'Formulation Rules'!C12)*B19/98|57:=('Formulation Rules'!B12+'Formulation Rules'!C12)*B19/98|57:=('Formulation Rules'!B13-'Formulation Rules'!C13)*B19/98|57:=('Formulation Rules'!B13+'Formulation Rules'!C13)*B19/98|57:=('Formulation Rules'!B14-'Formulation Rules'!C14)*B19/98|57:=('Formulation Rules'!B14+'Formulation Rules'!C14)*B19/98|32:=B24-'Formulation Rules'!B19*B28|14:=B24-0.635*B28|13:=B25-0.15*B29|13:=B25-0.18*B29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</si>
</sst>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0"/>
    <numFmt numFmtId="165" formatCode="0.0%"/>
    <numFmt numFmtId="166" formatCode="\$0.0000"/>
    <numFmt numFmtId="167" formatCode="\$#,##0.00"/>
    <numFmt numFmtId="168" formatCode="&quot;$&quot;#,##0.00"/>
    <numFmt numFmtId="169" formatCode="dd\ mmm\ yyyy\ hh:mm"/>
  </numFmts>
  <fonts count="30">
    <font>
      <sz val="11"/>
      <name val="Carlito"/>
    </font>
    <font>
      <sz val="10"/>
      <color rgb="FF263746"/>
      <name val="Arial"/>
    </font>
    <font>
      <b/>
      <sz val="11"/>
      <color rgb="FF244B63"/>
      <name val="Arial"/>
    </font>
    <font>
      <b/>
      <sz val="10"/>
      <color rgb="FFFFFFFF"/>
      <name val="Arial"/>
    </font>
    <font>
      <sz val="11"/>
      <name val="Arial"/>
    </font>
    <font>
      <b/>
      <sz val="11"/>
      <color rgb="FFFFFFFF"/>
      <name val="Arial"/>
    </font>
    <font>
      <sz val="10"/>
      <name val="Arial"/>
    </font>
    <font>
      <b/>
      <sz val="16"/>
      <color rgb="FFF5C54E"/>
      <name val="Arial"/>
    </font>
    <font>
      <b/>
      <sz val="17"/>
      <color rgb="FFF5C54E"/>
      <name val="Arial"/>
    </font>
    <font>
      <sz val="10"/>
      <color rgb="FFDFE8F3"/>
      <name val="Arial"/>
    </font>
    <font>
      <sz val="10"/>
      <color rgb="FF223043"/>
      <name val="Arial"/>
    </font>
    <font>
      <b/>
      <sz val="10"/>
      <color rgb="FF223043"/>
      <name val="Arial"/>
    </font>
    <font>
      <b/>
      <sz val="12"/>
      <color rgb="FF223043"/>
      <name val="Arial"/>
    </font>
    <font>
      <sz val="9"/>
      <color rgb="FF576B82"/>
      <name val="Arial"/>
    </font>
    <font>
      <sz val="10"/>
      <color rgb="FF576B82"/>
      <name val="Arial"/>
    </font>
    <font>
      <b/>
      <sz val="9"/>
      <color rgb="FF41D2E7"/>
      <name val="Arial"/>
    </font>
    <font>
      <sz val="11"/>
      <color rgb="FFFFFFFF"/>
      <name val="Arial"/>
    </font>
    <font>
      <sz val="11"/>
      <color rgb="FF576B82"/>
      <name val="Arial"/>
    </font>
    <font>
      <b/>
      <sz val="9"/>
      <color rgb="FF223043"/>
      <name val="Arial"/>
    </font>
    <font>
      <b/>
      <sz val="9"/>
      <color rgb="FFFFFFFF"/>
      <name val="Arial"/>
    </font>
    <font>
      <b/>
      <sz val="16"/>
      <color rgb="FF223043"/>
      <name val="Arial"/>
    </font>
    <font>
      <b/>
      <sz val="16"/>
      <color rgb="FFFFFFFF"/>
      <name val="Arial"/>
    </font>
    <font>
      <sz val="10"/>
      <color rgb="FF223043"/>
      <name val="Arial"/>
    </font>
    <font>
      <b/>
      <sz val="17"/>
      <color rgb="FFF5C54E"/>
      <name val="Arial"/>
    </font>
    <font>
      <sz val="9"/>
      <color rgb="FFFFFFFF"/>
      <name val="Arial"/>
    </font>
    <font>
      <sz val="10"/>
      <color rgb="FF223043"/>
      <name val="Arial"/>
    </font>
    <font>
      <b/>
      <sz val="10"/>
      <color rgb="FF223043"/>
      <name val="Arial"/>
    </font>
    <font>
      <sz val="9"/>
      <color rgb="FF576B82"/>
      <name val="Arial"/>
    </font>
    <font>
      <b/>
      <sz val="10"/>
      <color rgb="FFFFFFFF"/>
      <name val="Arial"/>
    </font>
    <font>
      <sz val="10"/>
      <color rgb="FF223043"/>
      <name val="Arial"/>
    </font>
  </fonts>
  <fills count="14">
    <fill>
      <patternFill patternType="none"/>
    </fill>
    <fill>
      <patternFill patternType="gray125"/>
    </fill>
    <fill>
      <patternFill patternType="solid">
        <fgColor rgb="FF0D182A"/>
      </patternFill>
    </fill>
    <fill>
      <patternFill patternType="solid">
        <fgColor rgb="FFFFF3CD"/>
      </patternFill>
    </fill>
    <fill>
      <patternFill patternType="solid">
        <fgColor rgb="FF1D2B3F"/>
      </patternFill>
    </fill>
    <fill>
      <patternFill patternType="solid">
        <fgColor rgb="FFFFFFFF"/>
      </patternFill>
    </fill>
    <fill>
      <patternFill patternType="solid">
        <fgColor rgb="FFF2F6FA"/>
      </patternFill>
    </fill>
    <fill>
      <patternFill patternType="solid">
        <fgColor rgb="FFECEDF3"/>
      </patternFill>
    </fill>
    <fill>
      <patternFill patternType="solid">
        <fgColor rgb="FF0D182A"/>
      </patternFill>
    </fill>
    <fill>
      <patternFill patternType="solid">
        <fgColor rgb="FFFFF3CD"/>
      </patternFill>
    </fill>
    <fill>
      <patternFill patternType="solid">
        <fgColor rgb="FF1D2B3F"/>
      </patternFill>
    </fill>
    <fill>
      <patternFill patternType="solid">
        <fgColor rgb="FFF2F6FA"/>
      </patternFill>
    </fill>
    <fill>
      <patternFill patternType="solid">
        <fgColor rgb="FFE8F2F9"/>
      </patternFill>
    </fill>
    <fill>
      <patternFill patternType="solid">
        <fgColor rgb="FFE2F0D9"/>
        <bgColor indexed="64"/>
      </patternFill>
    </fill>
  </fills>
  <borders count="4">
    <border>
      <left/>
      <right/>
      <top/>
      <bottom/>
      <diagonal/>
    </border>
    <border>
      <left style="thin">
        <color rgb="FFC59F46"/>
      </left>
      <right style="thin">
        <color rgb="FFC59F46"/>
      </right>
      <top style="thin">
        <color rgb="FFC59F46"/>
      </top>
      <bottom style="thin">
        <color rgb="FFC59F46"/>
      </bottom>
      <diagonal/>
    </border>
    <border>
      <left/>
      <right/>
      <top/>
      <bottom style="medium">
        <color rgb="FF41D2E7"/>
      </bottom>
      <diagonal/>
    </border>
    <border>
      <left style="thin">
        <color rgb="FFD9C792"/>
      </left>
      <right style="thin">
        <color rgb="FFD9C792"/>
      </right>
      <top style="thin">
        <color rgb="FFD9C792"/>
      </top>
      <bottom style="thin">
        <color rgb="FFD9C792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 applyAlignment="1">
      <alignment vertic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wrapText="1"/>
    </xf>
    <xf numFmtId="0" fontId="1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4" fontId="12" fillId="3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3" fillId="4" borderId="2" xfId="0" applyFont="1" applyFill="1" applyBorder="1" applyAlignment="1">
      <alignment horizontal="center" vertical="center" wrapText="1"/>
    </xf>
    <xf numFmtId="0" fontId="10" fillId="5" borderId="0" xfId="0" applyFont="1" applyFill="1" applyAlignment="1">
      <alignment vertical="center"/>
    </xf>
    <xf numFmtId="164" fontId="10" fillId="5" borderId="0" xfId="0" applyNumberFormat="1" applyFont="1" applyFill="1" applyAlignment="1">
      <alignment vertical="center"/>
    </xf>
    <xf numFmtId="0" fontId="10" fillId="6" borderId="0" xfId="0" applyFont="1" applyFill="1" applyAlignment="1">
      <alignment vertical="center"/>
    </xf>
    <xf numFmtId="164" fontId="10" fillId="6" borderId="0" xfId="0" applyNumberFormat="1" applyFont="1" applyFill="1" applyAlignment="1">
      <alignment vertical="center"/>
    </xf>
    <xf numFmtId="164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2" fontId="10" fillId="0" borderId="0" xfId="0" applyNumberFormat="1" applyFont="1" applyAlignment="1">
      <alignment vertical="center"/>
    </xf>
    <xf numFmtId="165" fontId="10" fillId="0" borderId="0" xfId="0" applyNumberFormat="1" applyFont="1" applyAlignment="1">
      <alignment vertical="center"/>
    </xf>
    <xf numFmtId="0" fontId="10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Continuous" vertical="center"/>
    </xf>
    <xf numFmtId="167" fontId="10" fillId="5" borderId="0" xfId="0" applyNumberFormat="1" applyFont="1" applyFill="1" applyAlignment="1">
      <alignment vertical="center"/>
    </xf>
    <xf numFmtId="167" fontId="10" fillId="6" borderId="0" xfId="0" applyNumberFormat="1" applyFont="1" applyFill="1" applyAlignment="1">
      <alignment vertical="center"/>
    </xf>
    <xf numFmtId="167" fontId="3" fillId="4" borderId="0" xfId="0" applyNumberFormat="1" applyFont="1" applyFill="1" applyAlignment="1">
      <alignment vertical="center"/>
    </xf>
    <xf numFmtId="166" fontId="10" fillId="3" borderId="3" xfId="0" applyNumberFormat="1" applyFont="1" applyFill="1" applyBorder="1" applyAlignment="1">
      <alignment vertical="center"/>
    </xf>
    <xf numFmtId="0" fontId="4" fillId="2" borderId="0" xfId="0" applyFont="1" applyFill="1"/>
    <xf numFmtId="0" fontId="7" fillId="2" borderId="0" xfId="0" applyFont="1" applyFill="1"/>
    <xf numFmtId="0" fontId="16" fillId="2" borderId="0" xfId="0" applyFont="1" applyFill="1"/>
    <xf numFmtId="0" fontId="5" fillId="4" borderId="0" xfId="0" applyFont="1" applyFill="1"/>
    <xf numFmtId="0" fontId="5" fillId="4" borderId="0" xfId="0" applyFont="1" applyFill="1" applyAlignment="1">
      <alignment wrapText="1"/>
    </xf>
    <xf numFmtId="164" fontId="4" fillId="3" borderId="3" xfId="0" applyNumberFormat="1" applyFont="1" applyFill="1" applyBorder="1"/>
    <xf numFmtId="0" fontId="17" fillId="0" borderId="0" xfId="0" applyFont="1"/>
    <xf numFmtId="165" fontId="6" fillId="0" borderId="0" xfId="0" applyNumberFormat="1" applyFont="1"/>
    <xf numFmtId="10" fontId="10" fillId="0" borderId="0" xfId="0" applyNumberFormat="1" applyFont="1" applyAlignment="1">
      <alignment vertical="center"/>
    </xf>
    <xf numFmtId="0" fontId="1" fillId="5" borderId="0" xfId="0" applyFont="1" applyFill="1" applyAlignment="1">
      <alignment vertical="center"/>
    </xf>
    <xf numFmtId="167" fontId="1" fillId="5" borderId="0" xfId="0" applyNumberFormat="1" applyFont="1" applyFill="1" applyAlignment="1">
      <alignment vertical="center"/>
    </xf>
    <xf numFmtId="165" fontId="1" fillId="5" borderId="0" xfId="0" applyNumberFormat="1" applyFont="1" applyFill="1" applyAlignment="1">
      <alignment vertical="center"/>
    </xf>
    <xf numFmtId="0" fontId="18" fillId="7" borderId="0" xfId="0" applyFont="1" applyFill="1" applyAlignment="1">
      <alignment horizontal="centerContinuous" vertical="center"/>
    </xf>
    <xf numFmtId="0" fontId="19" fillId="4" borderId="0" xfId="0" applyFont="1" applyFill="1" applyAlignment="1">
      <alignment horizontal="centerContinuous" vertical="center"/>
    </xf>
    <xf numFmtId="168" fontId="20" fillId="7" borderId="0" xfId="0" applyNumberFormat="1" applyFont="1" applyFill="1" applyAlignment="1">
      <alignment horizontal="centerContinuous" vertical="center"/>
    </xf>
    <xf numFmtId="168" fontId="21" fillId="4" borderId="0" xfId="0" applyNumberFormat="1" applyFont="1" applyFill="1" applyAlignment="1">
      <alignment horizontal="centerContinuous" vertical="center"/>
    </xf>
    <xf numFmtId="0" fontId="22" fillId="8" borderId="0" xfId="0" applyFont="1" applyFill="1" applyAlignment="1">
      <alignment vertical="center"/>
    </xf>
    <xf numFmtId="0" fontId="23" fillId="8" borderId="0" xfId="0" applyFont="1" applyFill="1" applyAlignment="1">
      <alignment vertical="center"/>
    </xf>
    <xf numFmtId="0" fontId="24" fillId="8" borderId="0" xfId="0" applyFont="1" applyFill="1" applyAlignment="1">
      <alignment vertical="center"/>
    </xf>
    <xf numFmtId="0" fontId="25" fillId="8" borderId="0" xfId="0" applyFont="1" applyFill="1" applyAlignment="1">
      <alignment vertical="center"/>
    </xf>
    <xf numFmtId="0" fontId="25" fillId="0" borderId="0" xfId="0" applyFont="1" applyAlignment="1">
      <alignment vertical="center"/>
    </xf>
    <xf numFmtId="0" fontId="26" fillId="12" borderId="1" xfId="0" applyFont="1" applyFill="1" applyBorder="1" applyAlignment="1">
      <alignment vertical="center" wrapText="1"/>
    </xf>
    <xf numFmtId="0" fontId="26" fillId="9" borderId="1" xfId="0" applyFont="1" applyFill="1" applyBorder="1" applyAlignment="1">
      <alignment vertical="center" wrapText="1"/>
    </xf>
    <xf numFmtId="0" fontId="27" fillId="0" borderId="0" xfId="0" applyFont="1" applyAlignment="1">
      <alignment vertical="center"/>
    </xf>
    <xf numFmtId="0" fontId="28" fillId="10" borderId="0" xfId="0" applyFont="1" applyFill="1" applyAlignment="1">
      <alignment vertical="center" wrapText="1"/>
    </xf>
    <xf numFmtId="0" fontId="25" fillId="11" borderId="0" xfId="0" applyFont="1" applyFill="1" applyAlignment="1">
      <alignment vertical="center"/>
    </xf>
    <xf numFmtId="169" fontId="25" fillId="11" borderId="0" xfId="0" applyNumberFormat="1" applyFont="1" applyFill="1" applyAlignment="1">
      <alignment vertical="center"/>
    </xf>
    <xf numFmtId="4" fontId="25" fillId="11" borderId="0" xfId="0" applyNumberFormat="1" applyFont="1" applyFill="1" applyAlignment="1">
      <alignment vertical="center"/>
    </xf>
    <xf numFmtId="164" fontId="25" fillId="0" borderId="0" xfId="0" applyNumberFormat="1" applyFont="1" applyAlignment="1">
      <alignment vertical="center"/>
    </xf>
    <xf numFmtId="164" fontId="25" fillId="11" borderId="0" xfId="0" applyNumberFormat="1" applyFont="1" applyFill="1" applyAlignment="1">
      <alignment vertical="center"/>
    </xf>
    <xf numFmtId="167" fontId="25" fillId="0" borderId="0" xfId="0" applyNumberFormat="1" applyFont="1" applyAlignment="1">
      <alignment vertical="center"/>
    </xf>
    <xf numFmtId="167" fontId="25" fillId="11" borderId="0" xfId="0" applyNumberFormat="1" applyFont="1" applyFill="1" applyAlignment="1">
      <alignment vertical="center"/>
    </xf>
    <xf numFmtId="0" fontId="26" fillId="12" borderId="0" xfId="0" applyFont="1" applyFill="1" applyAlignment="1">
      <alignment vertical="center"/>
    </xf>
    <xf numFmtId="167" fontId="26" fillId="12" borderId="0" xfId="0" applyNumberFormat="1" applyFont="1" applyFill="1" applyAlignment="1">
      <alignment vertical="center"/>
    </xf>
    <xf numFmtId="0" fontId="25" fillId="12" borderId="0" xfId="0" applyFont="1" applyFill="1" applyAlignment="1">
      <alignment vertical="center"/>
    </xf>
    <xf numFmtId="165" fontId="25" fillId="12" borderId="0" xfId="0" applyNumberFormat="1" applyFont="1" applyFill="1" applyAlignment="1">
      <alignment vertical="center"/>
    </xf>
    <xf numFmtId="0" fontId="10" fillId="12" borderId="0" xfId="0" applyFont="1" applyFill="1" applyAlignment="1">
      <alignment horizontal="left" vertical="center" wrapText="1"/>
    </xf>
    <xf numFmtId="0" fontId="29" fillId="12" borderId="0" xfId="0" applyFont="1" applyFill="1" applyAlignment="1">
      <alignment horizontal="left" vertical="center" wrapText="1"/>
    </xf>
    <xf numFmtId="0" fontId="2" fillId="13" borderId="0" xfId="0" applyFont="1" applyFill="1" applyAlignment="1">
      <alignment vertical="center"/>
    </xf>
  </cellXfs>
  <cellStyles count="1">
    <cellStyle name="Normal" xfId="0" builtinId="0"/>
  </cellStyles>
  <dxfs count="6">
    <dxf>
      <font>
        <color rgb="FFBF2D35"/>
      </font>
    </dxf>
    <dxf>
      <font>
        <color rgb="FFBF2D35"/>
      </font>
    </dxf>
    <dxf>
      <font>
        <color rgb="FFFF887D"/>
      </font>
    </dxf>
    <dxf>
      <font>
        <color rgb="FF41D2E7"/>
      </font>
    </dxf>
    <dxf>
      <font>
        <color rgb="FFFF887D"/>
      </font>
    </dxf>
    <dxf>
      <font>
        <color rgb="FF41D2E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152400</xdr:colOff>
      <xdr:row>1</xdr:row>
      <xdr:rowOff>25400</xdr:rowOff>
    </xdr:from>
    <xdr:to>
      <xdr:col>6</xdr:col>
      <xdr:colOff>1143000</xdr:colOff>
      <xdr:row>2</xdr:row>
      <xdr:rowOff>106981</xdr:rowOff>
    </xdr:to>
    <xdr:sp macro="[0]!Calculate" textlink="">
      <xdr:nvSpPr>
        <xdr:cNvPr id="2" name="Calculat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Grp="1"/>
        </xdr:cNvSpPr>
      </xdr:nvSpPr>
      <xdr:spPr>
        <a:xfrm>
          <a:off x="6553200" y="149225"/>
          <a:ext cx="3581400" cy="615950"/>
        </a:xfrm>
        <a:prstGeom prst="roundRect">
          <a:avLst/>
        </a:prstGeom>
        <a:gradFill rotWithShape="1">
          <a:gsLst>
            <a:gs pos="0">
              <a:srgbClr val="2A5E7C"/>
            </a:gs>
            <a:gs pos="100000">
              <a:srgbClr val="112F43"/>
            </a:gs>
          </a:gsLst>
          <a:lin ang="5400000" scaled="1"/>
          <a:tileRect/>
        </a:gradFill>
        <a:ln w="22225">
          <a:solidFill>
            <a:srgbClr val="41D2E7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/>
        <a:lstStyle/>
        <a:p>
          <a:pPr algn="ctr">
            <a:buNone/>
          </a:pPr>
          <a:r>
            <a:rPr sz="1300" b="1">
              <a:solidFill>
                <a:srgbClr val="FFFFFF"/>
              </a:solidFill>
            </a:rPr>
            <a:t>CALCULATE PLAN</a:t>
          </a:r>
          <a:endParaRPr/>
        </a:p>
      </xdr:txBody>
    </xdr:sp>
    <xdr:clientData/>
  </xdr:twoCellAnchor>
  <xdr:twoCellAnchor editAs="oneCell">
    <xdr:from>
      <xdr:col>0</xdr:col>
      <xdr:colOff>38100</xdr:colOff>
      <xdr:row>1</xdr:row>
      <xdr:rowOff>12700</xdr:rowOff>
    </xdr:from>
    <xdr:to>
      <xdr:col>3</xdr:col>
      <xdr:colOff>1308100</xdr:colOff>
      <xdr:row>2</xdr:row>
      <xdr:rowOff>347097</xdr:rowOff>
    </xdr:to>
    <xdr:sp macro="" textlink="">
      <xdr:nvSpPr>
        <xdr:cNvPr id="3" name="StarWarsTitl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Grp="1"/>
        </xdr:cNvSpPr>
      </xdr:nvSpPr>
      <xdr:spPr>
        <a:xfrm>
          <a:off x="38100" y="133781"/>
          <a:ext cx="6298877" cy="867151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0" tIns="0" rIns="0" bIns="0" anchor="ctr">
          <a:noAutofit/>
        </a:bodyPr>
        <a:lstStyle/>
        <a:p>
          <a:pPr algn="l">
            <a:buNone/>
          </a:pPr>
          <a:r>
            <a:rPr sz="2200" b="1">
              <a:ln w="15240">
                <a:solidFill>
                  <a:srgbClr val="F5C54E"/>
                </a:solidFill>
              </a:ln>
              <a:solidFill>
                <a:srgbClr val="0D182A"/>
              </a:solidFill>
              <a:latin typeface="Arial Black"/>
              <a:ea typeface="Arial Black"/>
              <a:cs typeface="Arial Black"/>
            </a:rPr>
            <a:t>SUPPLY AVAILABILITY
OPTIMISATION</a:t>
          </a:r>
          <a:endParaRPr/>
        </a:p>
      </xdr:txBody>
    </xdr:sp>
    <xdr:clientData/>
  </xdr:twoCellAnchor>
  <xdr:twoCellAnchor editAs="oneCell">
    <xdr:from>
      <xdr:col>4</xdr:col>
      <xdr:colOff>163512</xdr:colOff>
      <xdr:row>3</xdr:row>
      <xdr:rowOff>12700</xdr:rowOff>
    </xdr:from>
    <xdr:to>
      <xdr:col>6</xdr:col>
      <xdr:colOff>1145381</xdr:colOff>
      <xdr:row>3</xdr:row>
      <xdr:rowOff>292100</xdr:rowOff>
    </xdr:to>
    <xdr:sp macro="[0]!SaveSupplyScenario" textlink="">
      <xdr:nvSpPr>
        <xdr:cNvPr id="4" name="SaveScenario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Grp="1"/>
        </xdr:cNvSpPr>
      </xdr:nvSpPr>
      <xdr:spPr>
        <a:xfrm>
          <a:off x="6553200" y="1203325"/>
          <a:ext cx="3581400" cy="279400"/>
        </a:xfrm>
        <a:prstGeom prst="roundRect">
          <a:avLst/>
        </a:prstGeom>
        <a:solidFill>
          <a:srgbClr val="1D2B3F"/>
        </a:solidFill>
        <a:ln w="15240">
          <a:solidFill>
            <a:srgbClr val="F5C54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tIns="0" bIns="0" anchor="ctr"/>
        <a:lstStyle/>
        <a:p>
          <a:pPr algn="ctr">
            <a:buNone/>
          </a:pPr>
          <a:r>
            <a:rPr sz="1000" b="1">
              <a:solidFill>
                <a:srgbClr val="F5C54E"/>
              </a:solidFill>
            </a:rPr>
            <a:t>SAVE SCENARIO</a:t>
          </a:r>
          <a:endParaRPr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165847</xdr:colOff>
      <xdr:row>1</xdr:row>
      <xdr:rowOff>25960</xdr:rowOff>
    </xdr:from>
    <xdr:to>
      <xdr:col>6</xdr:col>
      <xdr:colOff>1147482</xdr:colOff>
      <xdr:row>2</xdr:row>
      <xdr:rowOff>260910</xdr:rowOff>
    </xdr:to>
    <xdr:sp macro="[0]!CostOptimisation" textlink="">
      <xdr:nvSpPr>
        <xdr:cNvPr id="2" name="CostOptimisation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Grp="1"/>
        </xdr:cNvSpPr>
      </xdr:nvSpPr>
      <xdr:spPr>
        <a:xfrm>
          <a:off x="6553200" y="149225"/>
          <a:ext cx="3581400" cy="615950"/>
        </a:xfrm>
        <a:prstGeom prst="roundRect">
          <a:avLst/>
        </a:prstGeom>
        <a:gradFill rotWithShape="1">
          <a:gsLst>
            <a:gs pos="0">
              <a:srgbClr val="2A5E7C"/>
            </a:gs>
            <a:gs pos="100000">
              <a:srgbClr val="112F43"/>
            </a:gs>
          </a:gsLst>
          <a:lin ang="5400000" scaled="1"/>
          <a:tileRect/>
        </a:gradFill>
        <a:ln w="22225">
          <a:solidFill>
            <a:srgbClr val="41D2E7"/>
          </a:solidFill>
          <a:prstDash val="soli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/>
        <a:lstStyle/>
        <a:p>
          <a:pPr algn="ctr">
            <a:buNone/>
          </a:pPr>
          <a:r>
            <a:rPr sz="1300" b="1">
              <a:solidFill>
                <a:srgbClr val="FFFFFF"/>
              </a:solidFill>
            </a:rPr>
            <a:t>OPTIMISE COST</a:t>
          </a:r>
          <a:endParaRPr/>
        </a:p>
      </xdr:txBody>
    </xdr:sp>
    <xdr:clientData/>
  </xdr:twoCellAnchor>
  <xdr:twoCellAnchor editAs="oneCell">
    <xdr:from>
      <xdr:col>0</xdr:col>
      <xdr:colOff>38100</xdr:colOff>
      <xdr:row>1</xdr:row>
      <xdr:rowOff>11966</xdr:rowOff>
    </xdr:from>
    <xdr:to>
      <xdr:col>3</xdr:col>
      <xdr:colOff>1311031</xdr:colOff>
      <xdr:row>3</xdr:row>
      <xdr:rowOff>117230</xdr:rowOff>
    </xdr:to>
    <xdr:sp macro="" textlink="">
      <xdr:nvSpPr>
        <xdr:cNvPr id="3" name="StarWarsTit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Grp="1"/>
        </xdr:cNvSpPr>
      </xdr:nvSpPr>
      <xdr:spPr>
        <a:xfrm>
          <a:off x="38100" y="136524"/>
          <a:ext cx="6299200" cy="1116379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0" tIns="0" rIns="0" bIns="0" anchor="ctr">
          <a:noAutofit/>
        </a:bodyPr>
        <a:lstStyle/>
        <a:p>
          <a:pPr algn="l">
            <a:buNone/>
          </a:pPr>
          <a:r>
            <a:rPr sz="2200" b="1">
              <a:ln w="15240">
                <a:solidFill>
                  <a:srgbClr val="F5C54E"/>
                </a:solidFill>
              </a:ln>
              <a:solidFill>
                <a:srgbClr val="0D182A"/>
              </a:solidFill>
              <a:latin typeface="Arial Black"/>
              <a:ea typeface="Arial Black"/>
              <a:cs typeface="Arial Black"/>
            </a:rPr>
            <a:t>COST
OPTIMISATION</a:t>
          </a:r>
          <a:endParaRPr/>
        </a:p>
      </xdr:txBody>
    </xdr:sp>
    <xdr:clientData/>
  </xdr:twoCellAnchor>
  <xdr:twoCellAnchor editAs="oneCell">
    <xdr:from>
      <xdr:col>4</xdr:col>
      <xdr:colOff>152077</xdr:colOff>
      <xdr:row>3</xdr:row>
      <xdr:rowOff>16090</xdr:rowOff>
    </xdr:from>
    <xdr:to>
      <xdr:col>6</xdr:col>
      <xdr:colOff>1150426</xdr:colOff>
      <xdr:row>3</xdr:row>
      <xdr:rowOff>295490</xdr:rowOff>
    </xdr:to>
    <xdr:sp macro="[0]!SaveCostScenario" textlink="">
      <xdr:nvSpPr>
        <xdr:cNvPr id="4" name="SaveScenarioButton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Grp="1"/>
        </xdr:cNvSpPr>
      </xdr:nvSpPr>
      <xdr:spPr>
        <a:xfrm>
          <a:off x="6553200" y="1146175"/>
          <a:ext cx="3581400" cy="279400"/>
        </a:xfrm>
        <a:prstGeom prst="roundRect">
          <a:avLst/>
        </a:prstGeom>
        <a:solidFill>
          <a:srgbClr val="1D2B3F"/>
        </a:solidFill>
        <a:ln w="15240">
          <a:solidFill>
            <a:srgbClr val="F5C54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tIns="0" bIns="0" anchor="ctr"/>
        <a:lstStyle/>
        <a:p>
          <a:pPr algn="ctr">
            <a:buNone/>
          </a:pPr>
          <a:r>
            <a:rPr sz="1000" b="1">
              <a:solidFill>
                <a:srgbClr val="F5C54E"/>
              </a:solidFill>
            </a:rPr>
            <a:t>SAVE SCENARIO</a:t>
          </a:r>
          <a:endParaRPr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12700</xdr:rowOff>
    </xdr:from>
    <xdr:to>
      <xdr:col>3</xdr:col>
      <xdr:colOff>2298700</xdr:colOff>
      <xdr:row>2</xdr:row>
      <xdr:rowOff>263525</xdr:rowOff>
    </xdr:to>
    <xdr:sp macro="" textlink="">
      <xdr:nvSpPr>
        <xdr:cNvPr id="2" name="StarWarsTitl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Grp="1"/>
        </xdr:cNvSpPr>
      </xdr:nvSpPr>
      <xdr:spPr>
        <a:xfrm>
          <a:off x="38100" y="288925"/>
          <a:ext cx="9499600" cy="52705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0" tIns="0" rIns="0" bIns="0" anchor="ctr">
          <a:noAutofit/>
        </a:bodyPr>
        <a:lstStyle/>
        <a:p>
          <a:r>
            <a:rPr sz="2000" b="1">
              <a:ln w="15240">
                <a:solidFill>
                  <a:srgbClr val="F5C54E"/>
                </a:solidFill>
              </a:ln>
              <a:solidFill>
                <a:srgbClr val="0D182A"/>
              </a:solidFill>
              <a:latin typeface="Arial Black"/>
              <a:ea typeface="Arial Black"/>
              <a:cs typeface="Arial Black"/>
            </a:rPr>
            <a:t>SCENARIO
COMPARISON</a:t>
          </a:r>
          <a:endParaRPr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12700</xdr:rowOff>
    </xdr:from>
    <xdr:to>
      <xdr:col>2</xdr:col>
      <xdr:colOff>2117725</xdr:colOff>
      <xdr:row>2</xdr:row>
      <xdr:rowOff>704850</xdr:rowOff>
    </xdr:to>
    <xdr:sp macro="" textlink="">
      <xdr:nvSpPr>
        <xdr:cNvPr id="2" name="StarWarsTitl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Grp="1"/>
        </xdr:cNvSpPr>
      </xdr:nvSpPr>
      <xdr:spPr>
        <a:xfrm>
          <a:off x="38100" y="317500"/>
          <a:ext cx="6346825" cy="99695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0" tIns="0" rIns="0" bIns="0" anchor="ctr">
          <a:noAutofit/>
        </a:bodyPr>
        <a:lstStyle/>
        <a:p>
          <a:pPr algn="l">
            <a:buNone/>
          </a:pPr>
          <a:r>
            <a:rPr sz="2000" b="1">
              <a:ln w="15240">
                <a:solidFill>
                  <a:srgbClr val="F5C54E"/>
                </a:solidFill>
              </a:ln>
              <a:solidFill>
                <a:srgbClr val="0D182A"/>
              </a:solidFill>
              <a:latin typeface="Arial Black"/>
              <a:ea typeface="Arial Black"/>
              <a:cs typeface="Arial Black"/>
            </a:rPr>
            <a:t>OTHER INGREDIENT
STOCK LIMITS</a:t>
          </a:r>
          <a:endParaRPr/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44B63"/>
  </sheetPr>
  <dimension ref="A1:G45"/>
  <sheetViews>
    <sheetView showGridLines="0" tabSelected="1" workbookViewId="0"/>
  </sheetViews>
  <sheetFormatPr defaultRowHeight="14.25"/>
  <cols>
    <col min="1" max="1" width="30" customWidth="1"/>
    <col min="2" max="4" width="18" customWidth="1"/>
    <col min="5" max="7" width="17" customWidth="1"/>
  </cols>
  <sheetData>
    <row r="1" spans="1:7" ht="9.9499999999999993" customHeight="1">
      <c r="A1" s="5"/>
      <c r="B1" s="5"/>
      <c r="C1" s="5"/>
      <c r="D1" s="5"/>
      <c r="E1" s="5"/>
      <c r="F1" s="5"/>
      <c r="G1" s="5"/>
    </row>
    <row r="2" spans="1:7" ht="42" customHeight="1">
      <c r="A2" s="6"/>
      <c r="B2" s="5"/>
      <c r="C2" s="5"/>
      <c r="D2" s="5"/>
      <c r="E2" s="5"/>
      <c r="F2" s="5"/>
      <c r="G2" s="5"/>
    </row>
    <row r="3" spans="1:7" ht="42" customHeight="1">
      <c r="A3" s="5"/>
      <c r="B3" s="5"/>
      <c r="C3" s="5"/>
      <c r="D3" s="5"/>
      <c r="E3" s="5"/>
      <c r="F3" s="5"/>
      <c r="G3" s="5"/>
    </row>
    <row r="4" spans="1:7" ht="24" customHeight="1">
      <c r="A4" s="7" t="s">
        <v>0</v>
      </c>
      <c r="B4" s="5"/>
      <c r="C4" s="5"/>
      <c r="D4" s="5"/>
      <c r="E4" s="23"/>
      <c r="F4" s="23"/>
      <c r="G4" s="23"/>
    </row>
    <row r="5" spans="1:7" ht="12" customHeight="1">
      <c r="A5" s="5"/>
      <c r="B5" s="5"/>
      <c r="C5" s="5"/>
      <c r="D5" s="5"/>
      <c r="E5" s="5"/>
      <c r="F5" s="5"/>
      <c r="G5" s="5"/>
    </row>
    <row r="6" spans="1:7" ht="27" customHeight="1">
      <c r="A6" s="9" t="s">
        <v>1</v>
      </c>
      <c r="B6" s="10">
        <v>10</v>
      </c>
      <c r="C6" s="1"/>
      <c r="D6" s="1"/>
      <c r="E6" s="1"/>
      <c r="F6" s="1"/>
      <c r="G6" s="1"/>
    </row>
    <row r="7" spans="1:7" ht="27" customHeight="1">
      <c r="A7" s="9" t="s">
        <v>2</v>
      </c>
      <c r="B7" s="10">
        <v>2400</v>
      </c>
      <c r="C7" s="1"/>
      <c r="D7" s="1"/>
      <c r="E7" s="1"/>
      <c r="F7" s="1"/>
      <c r="G7" s="1"/>
    </row>
    <row r="8" spans="1:7" ht="27" customHeight="1">
      <c r="A8" s="9" t="s">
        <v>3</v>
      </c>
      <c r="B8" s="10">
        <v>900</v>
      </c>
      <c r="C8" s="1"/>
      <c r="D8" s="1"/>
      <c r="E8" s="1"/>
      <c r="F8" s="1"/>
      <c r="G8" s="1"/>
    </row>
    <row r="9" spans="1:7" ht="21" customHeight="1">
      <c r="A9" s="11" t="s">
        <v>4</v>
      </c>
      <c r="B9" s="1"/>
      <c r="C9" s="1"/>
      <c r="D9" s="1"/>
      <c r="E9" s="1"/>
      <c r="F9" s="1"/>
      <c r="G9" s="1"/>
    </row>
    <row r="10" spans="1:7" ht="30" customHeight="1">
      <c r="A10" s="66" t="s">
        <v>243</v>
      </c>
      <c r="B10" s="66"/>
      <c r="C10" s="66"/>
      <c r="D10" s="66"/>
      <c r="E10" s="66"/>
      <c r="F10" s="66"/>
      <c r="G10" s="66"/>
    </row>
    <row r="11" spans="1:7" ht="21.95" customHeight="1">
      <c r="A11" s="1"/>
      <c r="B11" s="1"/>
      <c r="C11" s="1"/>
      <c r="D11" s="1"/>
      <c r="E11" s="1"/>
      <c r="F11" s="1"/>
      <c r="G11" s="1"/>
    </row>
    <row r="12" spans="1:7" ht="21.95" customHeight="1">
      <c r="A12" s="12" t="s">
        <v>5</v>
      </c>
      <c r="B12" s="1"/>
      <c r="C12" s="1"/>
      <c r="D12" s="1"/>
      <c r="E12" s="1"/>
      <c r="F12" s="1"/>
      <c r="G12" s="1"/>
    </row>
    <row r="13" spans="1:7" ht="40.5" customHeight="1">
      <c r="A13" s="64" t="s">
        <v>181</v>
      </c>
      <c r="B13" s="65"/>
      <c r="C13" s="65"/>
      <c r="D13" s="65"/>
      <c r="E13" s="65"/>
      <c r="F13" s="65"/>
      <c r="G13" s="65"/>
    </row>
    <row r="14" spans="1:7" ht="33.950000000000003" customHeight="1">
      <c r="A14" s="13" t="s">
        <v>6</v>
      </c>
      <c r="B14" s="13" t="s">
        <v>7</v>
      </c>
      <c r="C14" s="13" t="s">
        <v>8</v>
      </c>
      <c r="D14" s="13" t="s">
        <v>9</v>
      </c>
      <c r="E14" s="1"/>
      <c r="F14" s="1"/>
      <c r="G14" s="1"/>
    </row>
    <row r="15" spans="1:7" ht="21.95" customHeight="1">
      <c r="A15" s="14" t="s">
        <v>10</v>
      </c>
      <c r="B15" s="15">
        <f>IF(ISNUMBER($B$6),Model!C5*$B$6,"")</f>
        <v>3000</v>
      </c>
      <c r="C15" s="15">
        <v>2400</v>
      </c>
      <c r="D15" s="15">
        <f t="shared" ref="D15:D26" si="0">IF(ISNUMBER(C15),ROUND(C15-B15,3),"")</f>
        <v>-600</v>
      </c>
      <c r="E15" s="1"/>
      <c r="F15" s="1"/>
      <c r="G15" s="1"/>
    </row>
    <row r="16" spans="1:7" ht="21.95" customHeight="1">
      <c r="A16" s="16" t="s">
        <v>11</v>
      </c>
      <c r="B16" s="17">
        <f>IF(ISNUMBER($B$6),Model!C6*$B$6,"")</f>
        <v>350</v>
      </c>
      <c r="C16" s="17">
        <v>434.66015027637968</v>
      </c>
      <c r="D16" s="17">
        <f>IF(ISNUMBER(C16),ROUND(C16-B16,3),"")</f>
        <v>84.66</v>
      </c>
      <c r="E16" s="1"/>
      <c r="F16" s="1"/>
      <c r="G16" s="1"/>
    </row>
    <row r="17" spans="1:7" ht="21.95" customHeight="1">
      <c r="A17" s="14" t="s">
        <v>12</v>
      </c>
      <c r="B17" s="15">
        <f>IF(ISNUMBER($B$6),Model!C7*$B$6,"")</f>
        <v>1750</v>
      </c>
      <c r="C17" s="15">
        <v>2250.060229028204</v>
      </c>
      <c r="D17" s="15">
        <f t="shared" si="0"/>
        <v>500.06</v>
      </c>
      <c r="E17" s="1"/>
      <c r="F17" s="1"/>
      <c r="G17" s="1"/>
    </row>
    <row r="18" spans="1:7" ht="21.95" customHeight="1">
      <c r="A18" s="16" t="s">
        <v>13</v>
      </c>
      <c r="B18" s="17">
        <f>IF(ISNUMBER($B$6),Model!C8*$B$6,"")</f>
        <v>700</v>
      </c>
      <c r="C18" s="17">
        <v>700</v>
      </c>
      <c r="D18" s="17">
        <f t="shared" si="0"/>
        <v>0</v>
      </c>
      <c r="E18" s="1"/>
      <c r="F18" s="1"/>
      <c r="G18" s="1"/>
    </row>
    <row r="19" spans="1:7" ht="21.95" customHeight="1">
      <c r="A19" s="14" t="s">
        <v>14</v>
      </c>
      <c r="B19" s="15">
        <f>IF(ISNUMBER($B$6),Model!C9*$B$6,"")</f>
        <v>1400</v>
      </c>
      <c r="C19" s="15">
        <v>1400.0000000000002</v>
      </c>
      <c r="D19" s="15">
        <f t="shared" si="0"/>
        <v>0</v>
      </c>
      <c r="E19" s="1"/>
      <c r="F19" s="1"/>
      <c r="G19" s="1"/>
    </row>
    <row r="20" spans="1:7" ht="21.95" customHeight="1">
      <c r="A20" s="16" t="s">
        <v>15</v>
      </c>
      <c r="B20" s="17">
        <f>IF(ISNUMBER($B$6),Model!C10*$B$6,"")</f>
        <v>2200</v>
      </c>
      <c r="C20" s="17">
        <v>2215.2796206954167</v>
      </c>
      <c r="D20" s="17">
        <f t="shared" si="0"/>
        <v>15.28</v>
      </c>
      <c r="E20" s="1"/>
      <c r="F20" s="1"/>
      <c r="G20" s="1"/>
    </row>
    <row r="21" spans="1:7" ht="21.95" customHeight="1">
      <c r="A21" s="14" t="s">
        <v>182</v>
      </c>
      <c r="B21" s="15">
        <f>IF(ISNUMBER($B$6),Model!C11*$B$6,"")</f>
        <v>180</v>
      </c>
      <c r="C21" s="15">
        <v>180</v>
      </c>
      <c r="D21" s="15">
        <f t="shared" si="0"/>
        <v>0</v>
      </c>
      <c r="E21" s="1"/>
      <c r="F21" s="1"/>
      <c r="G21" s="1"/>
    </row>
    <row r="22" spans="1:7" ht="21.95" customHeight="1">
      <c r="A22" s="16" t="s">
        <v>183</v>
      </c>
      <c r="B22" s="17">
        <f>IF(ISNUMBER($B$6),Model!C12*$B$6,"")</f>
        <v>30</v>
      </c>
      <c r="C22" s="17">
        <v>30</v>
      </c>
      <c r="D22" s="17">
        <f t="shared" si="0"/>
        <v>0</v>
      </c>
      <c r="E22" s="1"/>
      <c r="F22" s="1"/>
      <c r="G22" s="1"/>
    </row>
    <row r="23" spans="1:7" ht="21.95" customHeight="1">
      <c r="A23" s="14" t="s">
        <v>184</v>
      </c>
      <c r="B23" s="15">
        <f>IF(ISNUMBER($B$6),Model!C13*$B$6,"")</f>
        <v>0.2</v>
      </c>
      <c r="C23" s="15">
        <v>0.2</v>
      </c>
      <c r="D23" s="15">
        <f t="shared" si="0"/>
        <v>0</v>
      </c>
      <c r="E23" s="1"/>
      <c r="F23" s="1"/>
      <c r="G23" s="1"/>
    </row>
    <row r="24" spans="1:7" ht="21.95" customHeight="1">
      <c r="A24" s="16" t="s">
        <v>185</v>
      </c>
      <c r="B24" s="17">
        <f>IF(ISNUMBER($B$6),Model!C14*$B$6,"")</f>
        <v>4</v>
      </c>
      <c r="C24" s="17">
        <v>4</v>
      </c>
      <c r="D24" s="17">
        <f t="shared" si="0"/>
        <v>0</v>
      </c>
      <c r="E24" s="1"/>
      <c r="F24" s="1"/>
      <c r="G24" s="1"/>
    </row>
    <row r="25" spans="1:7" ht="21.95" customHeight="1">
      <c r="A25" s="14" t="s">
        <v>186</v>
      </c>
      <c r="B25" s="15">
        <f>IF(ISNUMBER($B$6),Model!C15*$B$6,"")</f>
        <v>4</v>
      </c>
      <c r="C25" s="15">
        <v>4</v>
      </c>
      <c r="D25" s="15">
        <f t="shared" si="0"/>
        <v>0</v>
      </c>
      <c r="E25" s="1"/>
      <c r="F25" s="1"/>
      <c r="G25" s="1"/>
    </row>
    <row r="26" spans="1:7" ht="21.95" customHeight="1">
      <c r="A26" s="16" t="s">
        <v>187</v>
      </c>
      <c r="B26" s="17">
        <f>IF(ISNUMBER($B$6),Model!C16*$B$6,"")</f>
        <v>381.8</v>
      </c>
      <c r="C26" s="17">
        <v>381.8</v>
      </c>
      <c r="D26" s="17">
        <f t="shared" si="0"/>
        <v>0</v>
      </c>
      <c r="E26" s="1"/>
      <c r="F26" s="1"/>
      <c r="G26" s="1"/>
    </row>
    <row r="27" spans="1:7" ht="27.95" customHeight="1">
      <c r="A27" s="18" t="s">
        <v>16</v>
      </c>
      <c r="B27" s="18">
        <f>SUM(B15:B26)</f>
        <v>10000</v>
      </c>
      <c r="C27" s="18">
        <f>IF(COUNT(C15:C26)=12,SUM(C15:C26),"")</f>
        <v>10000</v>
      </c>
      <c r="D27" s="18">
        <f>IF(ISNUMBER(C27),C27-B27,"")</f>
        <v>0</v>
      </c>
    </row>
    <row r="28" spans="1:7" ht="21.95" customHeight="1">
      <c r="A28" s="1"/>
      <c r="B28" s="1"/>
      <c r="C28" s="1"/>
      <c r="D28" s="1"/>
      <c r="E28" s="1"/>
      <c r="F28" s="1"/>
      <c r="G28" s="1"/>
    </row>
    <row r="29" spans="1:7" ht="21.95" customHeight="1">
      <c r="A29" s="1"/>
      <c r="B29" s="1"/>
      <c r="C29" s="1"/>
      <c r="D29" s="1"/>
      <c r="E29" s="1"/>
      <c r="F29" s="1"/>
      <c r="G29" s="1"/>
    </row>
    <row r="30" spans="1:7" ht="21.95" customHeight="1">
      <c r="A30" s="19" t="s">
        <v>17</v>
      </c>
      <c r="B30" s="19" t="s">
        <v>18</v>
      </c>
      <c r="C30" s="19" t="s">
        <v>19</v>
      </c>
      <c r="D30" s="19" t="s">
        <v>20</v>
      </c>
      <c r="E30" s="1"/>
      <c r="F30" s="1"/>
      <c r="G30" s="1"/>
    </row>
    <row r="31" spans="1:7" ht="21.95" customHeight="1">
      <c r="A31" s="8" t="s">
        <v>21</v>
      </c>
      <c r="B31" s="20">
        <v>12.83617073516689</v>
      </c>
      <c r="C31" s="20">
        <v>12.736509018769482</v>
      </c>
      <c r="D31" s="22" t="s">
        <v>242</v>
      </c>
      <c r="E31" s="1"/>
      <c r="F31" s="1"/>
      <c r="G31" s="1"/>
    </row>
    <row r="32" spans="1:7" ht="21.95" customHeight="1">
      <c r="A32" s="8" t="s">
        <v>22</v>
      </c>
      <c r="B32" s="20">
        <v>26.886608165645434</v>
      </c>
      <c r="C32" s="20">
        <v>27.086608165645409</v>
      </c>
      <c r="D32" s="22" t="s">
        <v>242</v>
      </c>
      <c r="E32" s="1"/>
      <c r="F32" s="1"/>
      <c r="G32" s="1"/>
    </row>
    <row r="33" spans="1:7" ht="21.95" customHeight="1">
      <c r="A33" s="8" t="s">
        <v>23</v>
      </c>
      <c r="B33" s="21">
        <v>0.62319414209380564</v>
      </c>
      <c r="C33" s="36">
        <v>0.61999999999999988</v>
      </c>
      <c r="D33" s="22" t="s">
        <v>242</v>
      </c>
      <c r="E33" s="1"/>
      <c r="F33" s="1"/>
      <c r="G33" s="1"/>
    </row>
    <row r="34" spans="1:7" ht="21.95" customHeight="1">
      <c r="A34" s="8" t="s">
        <v>24</v>
      </c>
      <c r="B34" s="20">
        <v>4.5319074988200532</v>
      </c>
      <c r="C34" s="20">
        <v>4.5620851196964622</v>
      </c>
      <c r="D34" s="22" t="s">
        <v>242</v>
      </c>
      <c r="E34" s="1"/>
      <c r="F34" s="1"/>
      <c r="G34" s="1"/>
    </row>
    <row r="35" spans="1:7" ht="21.95" customHeight="1">
      <c r="A35" s="8" t="s">
        <v>25</v>
      </c>
      <c r="B35" s="21">
        <v>0.16855631141345423</v>
      </c>
      <c r="C35" s="21">
        <v>0.16842585427446258</v>
      </c>
      <c r="D35" s="22" t="s">
        <v>242</v>
      </c>
      <c r="E35" s="1"/>
      <c r="F35" s="1"/>
      <c r="G35" s="1"/>
    </row>
    <row r="36" spans="1:7" ht="21.95" customHeight="1">
      <c r="A36" s="1"/>
      <c r="B36" s="1"/>
      <c r="C36" s="1"/>
      <c r="D36" s="1"/>
      <c r="E36" s="1"/>
      <c r="F36" s="1"/>
      <c r="G36" s="1"/>
    </row>
    <row r="37" spans="1:7" ht="21.95" customHeight="1">
      <c r="A37" s="1"/>
      <c r="B37" s="1"/>
      <c r="C37" s="1"/>
      <c r="D37" s="1"/>
      <c r="E37" s="1"/>
      <c r="F37" s="1"/>
      <c r="G37" s="1"/>
    </row>
    <row r="38" spans="1:7">
      <c r="A38" s="1"/>
      <c r="B38" s="1"/>
      <c r="C38" s="1"/>
      <c r="D38" s="1"/>
      <c r="E38" s="1"/>
      <c r="F38" s="1"/>
      <c r="G38" s="1"/>
    </row>
    <row r="39" spans="1:7">
      <c r="A39" s="11" t="s">
        <v>188</v>
      </c>
      <c r="B39" s="11"/>
      <c r="C39" s="11"/>
      <c r="D39" s="11"/>
      <c r="E39" s="11"/>
      <c r="F39" s="11"/>
      <c r="G39" s="11"/>
    </row>
    <row r="40" spans="1:7">
      <c r="A40" s="11" t="s">
        <v>189</v>
      </c>
      <c r="B40" s="11"/>
      <c r="C40" s="11"/>
      <c r="D40" s="11"/>
      <c r="E40" s="11"/>
      <c r="F40" s="11"/>
      <c r="G40" s="11"/>
    </row>
    <row r="41" spans="1:7">
      <c r="A41" s="11" t="s">
        <v>26</v>
      </c>
      <c r="B41" s="11"/>
      <c r="C41" s="11"/>
      <c r="D41" s="11"/>
      <c r="E41" s="11"/>
      <c r="F41" s="11"/>
      <c r="G41" s="11"/>
    </row>
    <row r="42" spans="1:7">
      <c r="A42" s="12" t="s">
        <v>27</v>
      </c>
      <c r="B42" s="12"/>
      <c r="C42" s="12"/>
      <c r="D42" s="12"/>
      <c r="E42" s="12"/>
      <c r="F42" s="12"/>
      <c r="G42" s="12"/>
    </row>
    <row r="43" spans="1:7" ht="21.95" customHeight="1">
      <c r="A43" s="1"/>
      <c r="B43" s="1"/>
      <c r="C43" s="1"/>
      <c r="D43" s="1"/>
      <c r="E43" s="1"/>
      <c r="F43" s="1"/>
      <c r="G43" s="1"/>
    </row>
    <row r="44" spans="1:7" ht="21.95" customHeight="1">
      <c r="A44" s="1"/>
      <c r="B44" s="1"/>
      <c r="C44" s="1"/>
      <c r="D44" s="1"/>
      <c r="E44" s="1"/>
      <c r="F44" s="1"/>
      <c r="G44" s="1"/>
    </row>
    <row r="45" spans="1:7" ht="21.95" customHeight="1">
      <c r="A45" s="1"/>
      <c r="B45" s="1"/>
      <c r="C45" s="1"/>
      <c r="D45" s="1"/>
      <c r="E45" s="1"/>
      <c r="F45" s="1"/>
      <c r="G45" s="1"/>
    </row>
  </sheetData>
  <mergeCells count="1">
    <mergeCell ref="A13:G13"/>
  </mergeCells>
  <dataValidations count="2">
    <dataValidation type="decimal" sqref="B7:B8" xr:uid="{00000000-0002-0000-0000-000000000000}">
      <formula1>0</formula1>
      <formula2>100000000</formula2>
    </dataValidation>
    <dataValidation type="decimal" sqref="B6" xr:uid="{00000000-0002-0000-0000-000001000000}">
      <formula1>0.001</formula1>
      <formula2>100000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44B63"/>
  </sheetPr>
  <dimension ref="A1:G45"/>
  <sheetViews>
    <sheetView showGridLines="0" workbookViewId="0"/>
  </sheetViews>
  <sheetFormatPr defaultRowHeight="14.25"/>
  <cols>
    <col min="1" max="1" width="30" customWidth="1"/>
    <col min="2" max="4" width="18" customWidth="1"/>
    <col min="5" max="7" width="17" customWidth="1"/>
  </cols>
  <sheetData>
    <row r="1" spans="1:7" ht="9.9499999999999993" customHeight="1">
      <c r="A1" s="5"/>
      <c r="B1" s="5"/>
      <c r="C1" s="5"/>
      <c r="D1" s="5"/>
      <c r="E1" s="5"/>
      <c r="F1" s="5"/>
      <c r="G1" s="5"/>
    </row>
    <row r="2" spans="1:7" ht="30" customHeight="1">
      <c r="A2" s="6"/>
      <c r="B2" s="5"/>
      <c r="C2" s="5"/>
      <c r="D2" s="5"/>
      <c r="E2" s="5"/>
      <c r="F2" s="5"/>
      <c r="G2" s="5"/>
    </row>
    <row r="3" spans="1:7" ht="49.5" customHeight="1">
      <c r="A3" s="5"/>
      <c r="B3" s="5"/>
      <c r="C3" s="5"/>
      <c r="D3" s="5"/>
      <c r="E3" s="5"/>
      <c r="F3" s="5"/>
      <c r="G3" s="5"/>
    </row>
    <row r="4" spans="1:7" ht="24" customHeight="1">
      <c r="A4" s="7" t="s">
        <v>28</v>
      </c>
      <c r="B4" s="5"/>
      <c r="C4" s="5"/>
      <c r="D4" s="5"/>
      <c r="E4" s="23"/>
      <c r="F4" s="23"/>
      <c r="G4" s="23"/>
    </row>
    <row r="5" spans="1:7" ht="12" customHeight="1">
      <c r="A5" s="5"/>
      <c r="B5" s="5"/>
      <c r="C5" s="5"/>
      <c r="D5" s="5"/>
      <c r="E5" s="5"/>
      <c r="F5" s="5"/>
      <c r="G5" s="5"/>
    </row>
    <row r="6" spans="1:7" ht="30" customHeight="1">
      <c r="A6" s="9" t="s">
        <v>1</v>
      </c>
      <c r="B6" s="10">
        <v>10</v>
      </c>
      <c r="C6" s="1"/>
      <c r="D6" s="40" t="s">
        <v>29</v>
      </c>
      <c r="E6" s="40"/>
      <c r="F6" s="40" t="s">
        <v>30</v>
      </c>
      <c r="G6" s="40"/>
    </row>
    <row r="7" spans="1:7" ht="30" customHeight="1">
      <c r="A7" s="9" t="s">
        <v>2</v>
      </c>
      <c r="B7" s="10">
        <v>2400</v>
      </c>
      <c r="C7" s="1"/>
      <c r="D7" s="42">
        <f>IF(AND(COUNT(E15:E26)=12,$B$6&gt;0),F27/$B$6,"")</f>
        <v>3363.8839999999996</v>
      </c>
      <c r="E7" s="42"/>
      <c r="F7" s="42">
        <f>IF(AND(ISNUMBER(G27),$B$6&gt;0),G27/$B$6,"")</f>
        <v>3327.8088617794429</v>
      </c>
      <c r="G7" s="42"/>
    </row>
    <row r="8" spans="1:7" ht="30" customHeight="1">
      <c r="A8" s="9" t="s">
        <v>3</v>
      </c>
      <c r="B8" s="10">
        <v>900</v>
      </c>
      <c r="C8" s="1"/>
      <c r="D8" s="41" t="s">
        <v>31</v>
      </c>
      <c r="E8" s="41"/>
      <c r="F8" s="41" t="s">
        <v>32</v>
      </c>
      <c r="G8" s="41"/>
    </row>
    <row r="9" spans="1:7" ht="30" customHeight="1">
      <c r="A9" s="11" t="s">
        <v>33</v>
      </c>
      <c r="B9" s="1"/>
      <c r="C9" s="1"/>
      <c r="D9" s="43">
        <f>IF(AND(ISNUMBER(D7),ISNUMBER(F7)),D7-F7,"")</f>
        <v>36.07513822055671</v>
      </c>
      <c r="E9" s="43"/>
      <c r="F9" s="43">
        <f>IF(ISNUMBER(D9),D9*$B$6,"")</f>
        <v>360.7513822055671</v>
      </c>
      <c r="G9" s="43"/>
    </row>
    <row r="10" spans="1:7" ht="30" customHeight="1">
      <c r="A10" s="66" t="s">
        <v>247</v>
      </c>
      <c r="B10" s="66"/>
      <c r="C10" s="66"/>
      <c r="D10" s="66"/>
      <c r="E10" s="66"/>
      <c r="F10" s="66"/>
      <c r="G10" s="66"/>
    </row>
    <row r="11" spans="1:7" ht="21.95" customHeight="1">
      <c r="A11" s="1"/>
      <c r="B11" s="1"/>
      <c r="C11" s="1"/>
      <c r="D11" s="1"/>
      <c r="E11" s="1"/>
      <c r="F11" s="8" t="s">
        <v>34</v>
      </c>
      <c r="G11" s="21">
        <f>IF(AND(ISNUMBER(D9),D7&gt;0),D9/D7,"")</f>
        <v>1.0724251555807725E-2</v>
      </c>
    </row>
    <row r="12" spans="1:7" ht="21.95" customHeight="1">
      <c r="A12" s="12" t="s">
        <v>5</v>
      </c>
      <c r="B12" s="1"/>
      <c r="C12" s="1"/>
      <c r="D12" s="1"/>
      <c r="E12" s="1"/>
      <c r="F12" s="1"/>
      <c r="G12" s="1"/>
    </row>
    <row r="13" spans="1:7" ht="39.950000000000003" customHeight="1">
      <c r="A13" s="65" t="s">
        <v>181</v>
      </c>
      <c r="B13" s="65"/>
      <c r="C13" s="65"/>
      <c r="D13" s="65"/>
      <c r="E13" s="65"/>
      <c r="F13" s="65"/>
      <c r="G13" s="65"/>
    </row>
    <row r="14" spans="1:7" ht="33.950000000000003" customHeight="1">
      <c r="A14" s="13" t="s">
        <v>6</v>
      </c>
      <c r="B14" s="13" t="s">
        <v>7</v>
      </c>
      <c r="C14" s="13" t="s">
        <v>8</v>
      </c>
      <c r="D14" s="13" t="s">
        <v>9</v>
      </c>
      <c r="E14" s="13" t="s">
        <v>35</v>
      </c>
      <c r="F14" s="13" t="s">
        <v>36</v>
      </c>
      <c r="G14" s="13" t="s">
        <v>37</v>
      </c>
    </row>
    <row r="15" spans="1:7" ht="21.95" customHeight="1">
      <c r="A15" s="14" t="s">
        <v>10</v>
      </c>
      <c r="B15" s="15">
        <f>IF(ISNUMBER($B$6),Model!C5*$B$6,"")</f>
        <v>3000</v>
      </c>
      <c r="C15" s="15">
        <v>0</v>
      </c>
      <c r="D15" s="15">
        <f>IF(ISNUMBER(C15),ROUND(C15-B15,3),"")</f>
        <v>-3000</v>
      </c>
      <c r="E15" s="27">
        <v>3.2</v>
      </c>
      <c r="F15" s="24">
        <f t="shared" ref="F15:F26" si="0">IF(ISNUMBER(E15),B15*E15,"")</f>
        <v>9600</v>
      </c>
      <c r="G15" s="24">
        <f t="shared" ref="G15:G26" si="1">IF(AND(ISNUMBER(E15),ISNUMBER(C15)),C15*E15,"")</f>
        <v>0</v>
      </c>
    </row>
    <row r="16" spans="1:7" ht="21.95" customHeight="1">
      <c r="A16" s="16" t="s">
        <v>11</v>
      </c>
      <c r="B16" s="17">
        <f>IF(ISNUMBER($B$6),Model!C6*$B$6,"")</f>
        <v>350</v>
      </c>
      <c r="C16" s="17">
        <v>817.91184118540195</v>
      </c>
      <c r="D16" s="17">
        <f t="shared" ref="D16:D26" si="2">IF(ISNUMBER(C16),ROUND(C16-B16,3),"")</f>
        <v>467.91199999999998</v>
      </c>
      <c r="E16" s="27">
        <v>11.5</v>
      </c>
      <c r="F16" s="25">
        <f t="shared" si="0"/>
        <v>4025</v>
      </c>
      <c r="G16" s="25">
        <f t="shared" si="1"/>
        <v>9405.9861736321218</v>
      </c>
    </row>
    <row r="17" spans="1:7" ht="21.95" customHeight="1">
      <c r="A17" s="14" t="s">
        <v>12</v>
      </c>
      <c r="B17" s="15">
        <f>IF(ISNUMBER($B$6),Model!C7*$B$6,"")</f>
        <v>1750</v>
      </c>
      <c r="C17" s="15">
        <v>4323.8146518005206</v>
      </c>
      <c r="D17" s="15">
        <f t="shared" si="2"/>
        <v>2573.8150000000001</v>
      </c>
      <c r="E17" s="27">
        <v>1.6</v>
      </c>
      <c r="F17" s="24">
        <f t="shared" si="0"/>
        <v>2800</v>
      </c>
      <c r="G17" s="24">
        <f t="shared" si="1"/>
        <v>6918.1034428808334</v>
      </c>
    </row>
    <row r="18" spans="1:7" ht="21.95" customHeight="1">
      <c r="A18" s="16" t="s">
        <v>13</v>
      </c>
      <c r="B18" s="17">
        <f>IF(ISNUMBER($B$6),Model!C8*$B$6,"")</f>
        <v>700</v>
      </c>
      <c r="C18" s="17">
        <v>768.37733856048885</v>
      </c>
      <c r="D18" s="17">
        <f t="shared" si="2"/>
        <v>68.376999999999995</v>
      </c>
      <c r="E18" s="27">
        <v>3.8</v>
      </c>
      <c r="F18" s="25">
        <f t="shared" si="0"/>
        <v>2660</v>
      </c>
      <c r="G18" s="25">
        <f t="shared" si="1"/>
        <v>2919.8338865298574</v>
      </c>
    </row>
    <row r="19" spans="1:7" ht="21.95" customHeight="1">
      <c r="A19" s="14" t="s">
        <v>14</v>
      </c>
      <c r="B19" s="15">
        <f>IF(ISNUMBER($B$6),Model!C9*$B$6,"")</f>
        <v>1400</v>
      </c>
      <c r="C19" s="15">
        <v>1278.3687192680982</v>
      </c>
      <c r="D19" s="15">
        <f t="shared" si="2"/>
        <v>-121.631</v>
      </c>
      <c r="E19" s="27">
        <v>4.5</v>
      </c>
      <c r="F19" s="24">
        <f t="shared" si="0"/>
        <v>6300</v>
      </c>
      <c r="G19" s="24">
        <f t="shared" si="1"/>
        <v>5752.6592367064422</v>
      </c>
    </row>
    <row r="20" spans="1:7" ht="21.95" customHeight="1">
      <c r="A20" s="16" t="s">
        <v>15</v>
      </c>
      <c r="B20" s="17">
        <f>IF(ISNUMBER($B$6),Model!C10*$B$6,"")</f>
        <v>2200</v>
      </c>
      <c r="C20" s="17">
        <v>2211.5274491854898</v>
      </c>
      <c r="D20" s="17">
        <f t="shared" si="2"/>
        <v>11.526999999999999</v>
      </c>
      <c r="E20" s="27">
        <v>2.4</v>
      </c>
      <c r="F20" s="25">
        <f t="shared" si="0"/>
        <v>5280</v>
      </c>
      <c r="G20" s="25">
        <f t="shared" si="1"/>
        <v>5307.6658780451753</v>
      </c>
    </row>
    <row r="21" spans="1:7" ht="21.95" customHeight="1">
      <c r="A21" s="14" t="s">
        <v>182</v>
      </c>
      <c r="B21" s="15">
        <f>IF(ISNUMBER($B$6),Model!C11*$B$6,"")</f>
        <v>180</v>
      </c>
      <c r="C21" s="15">
        <v>180</v>
      </c>
      <c r="D21" s="15">
        <f t="shared" si="2"/>
        <v>0</v>
      </c>
      <c r="E21" s="27">
        <v>8</v>
      </c>
      <c r="F21" s="24">
        <f t="shared" si="0"/>
        <v>1440</v>
      </c>
      <c r="G21" s="24">
        <f t="shared" si="1"/>
        <v>1440</v>
      </c>
    </row>
    <row r="22" spans="1:7" ht="21.95" customHeight="1">
      <c r="A22" s="16" t="s">
        <v>183</v>
      </c>
      <c r="B22" s="17">
        <f>IF(ISNUMBER($B$6),Model!C12*$B$6,"")</f>
        <v>30</v>
      </c>
      <c r="C22" s="17">
        <v>30</v>
      </c>
      <c r="D22" s="17">
        <f t="shared" si="2"/>
        <v>0</v>
      </c>
      <c r="E22" s="27">
        <v>15</v>
      </c>
      <c r="F22" s="25">
        <f t="shared" si="0"/>
        <v>450</v>
      </c>
      <c r="G22" s="25">
        <f t="shared" si="1"/>
        <v>450</v>
      </c>
    </row>
    <row r="23" spans="1:7" ht="21.95" customHeight="1">
      <c r="A23" s="14" t="s">
        <v>184</v>
      </c>
      <c r="B23" s="15">
        <f>IF(ISNUMBER($B$6),Model!C13*$B$6,"")</f>
        <v>0.2</v>
      </c>
      <c r="C23" s="15">
        <v>0.2</v>
      </c>
      <c r="D23" s="15">
        <f t="shared" si="2"/>
        <v>0</v>
      </c>
      <c r="E23" s="27">
        <v>20</v>
      </c>
      <c r="F23" s="24">
        <f t="shared" si="0"/>
        <v>4</v>
      </c>
      <c r="G23" s="24">
        <f t="shared" si="1"/>
        <v>4</v>
      </c>
    </row>
    <row r="24" spans="1:7" ht="21.95" customHeight="1">
      <c r="A24" s="16" t="s">
        <v>185</v>
      </c>
      <c r="B24" s="17">
        <f>IF(ISNUMBER($B$6),Model!C14*$B$6,"")</f>
        <v>4</v>
      </c>
      <c r="C24" s="17">
        <v>4</v>
      </c>
      <c r="D24" s="17">
        <f t="shared" si="2"/>
        <v>0</v>
      </c>
      <c r="E24" s="27">
        <v>1.2</v>
      </c>
      <c r="F24" s="25">
        <f t="shared" si="0"/>
        <v>4.8</v>
      </c>
      <c r="G24" s="25">
        <f t="shared" si="1"/>
        <v>4.8</v>
      </c>
    </row>
    <row r="25" spans="1:7" ht="21.95" customHeight="1">
      <c r="A25" s="14" t="s">
        <v>186</v>
      </c>
      <c r="B25" s="15">
        <f>IF(ISNUMBER($B$6),Model!C15*$B$6,"")</f>
        <v>4</v>
      </c>
      <c r="C25" s="15">
        <v>4</v>
      </c>
      <c r="D25" s="15">
        <f t="shared" si="2"/>
        <v>0</v>
      </c>
      <c r="E25" s="27">
        <v>1.5</v>
      </c>
      <c r="F25" s="24">
        <f t="shared" si="0"/>
        <v>6</v>
      </c>
      <c r="G25" s="24">
        <f t="shared" si="1"/>
        <v>6</v>
      </c>
    </row>
    <row r="26" spans="1:7" ht="21.95" customHeight="1">
      <c r="A26" s="16" t="s">
        <v>187</v>
      </c>
      <c r="B26" s="17">
        <f>IF(ISNUMBER($B$6),Model!C16*$B$6,"")</f>
        <v>381.8</v>
      </c>
      <c r="C26" s="17">
        <v>381.8</v>
      </c>
      <c r="D26" s="17">
        <f t="shared" si="2"/>
        <v>0</v>
      </c>
      <c r="E26" s="27">
        <v>2.8</v>
      </c>
      <c r="F26" s="25">
        <f t="shared" si="0"/>
        <v>1069.04</v>
      </c>
      <c r="G26" s="25">
        <f t="shared" si="1"/>
        <v>1069.04</v>
      </c>
    </row>
    <row r="27" spans="1:7" ht="27.95" customHeight="1">
      <c r="A27" s="18" t="s">
        <v>16</v>
      </c>
      <c r="B27" s="18">
        <f>SUM(B15:B26)</f>
        <v>10000</v>
      </c>
      <c r="C27" s="18">
        <f>IF(COUNT(C15:C26)=12,SUM(C15:C26),"")</f>
        <v>10000</v>
      </c>
      <c r="D27" s="18">
        <f>IF(ISNUMBER(C27),C27-B27,"")</f>
        <v>0</v>
      </c>
      <c r="E27" s="18"/>
      <c r="F27" s="26">
        <f>IF(COUNT(E15:E26)=12,SUM(F15:F26),"")</f>
        <v>33638.839999999997</v>
      </c>
      <c r="G27" s="26">
        <f>IF(COUNT(G15:G26)=12,SUM(G15:G26),"")</f>
        <v>33278.088617794427</v>
      </c>
    </row>
    <row r="28" spans="1:7" ht="21.95" customHeight="1">
      <c r="A28" s="1"/>
      <c r="B28" s="1"/>
      <c r="C28" s="1"/>
      <c r="D28" s="1"/>
      <c r="E28" s="1"/>
      <c r="F28" s="1"/>
      <c r="G28" s="1"/>
    </row>
    <row r="29" spans="1:7" ht="21.95" customHeight="1">
      <c r="A29" s="1"/>
      <c r="B29" s="1"/>
      <c r="C29" s="1"/>
      <c r="D29" s="1"/>
      <c r="E29" s="1"/>
      <c r="F29" s="1"/>
      <c r="G29" s="1"/>
    </row>
    <row r="30" spans="1:7" ht="21.95" customHeight="1">
      <c r="A30" s="19" t="s">
        <v>17</v>
      </c>
      <c r="B30" s="19" t="s">
        <v>18</v>
      </c>
      <c r="C30" s="19" t="s">
        <v>19</v>
      </c>
      <c r="D30" s="19" t="s">
        <v>20</v>
      </c>
      <c r="E30" s="1"/>
      <c r="F30" s="1"/>
      <c r="G30" s="1"/>
    </row>
    <row r="31" spans="1:7" ht="21.95" customHeight="1">
      <c r="A31" s="8" t="s">
        <v>21</v>
      </c>
      <c r="B31" s="20">
        <v>12.83617073516689</v>
      </c>
      <c r="C31" s="20">
        <v>12.636170735166834</v>
      </c>
      <c r="D31" s="22" t="s">
        <v>242</v>
      </c>
      <c r="E31" s="37"/>
      <c r="F31" s="37"/>
      <c r="G31" s="38"/>
    </row>
    <row r="32" spans="1:7" ht="21.95" customHeight="1">
      <c r="A32" s="8" t="s">
        <v>22</v>
      </c>
      <c r="B32" s="20">
        <v>26.886608165645434</v>
      </c>
      <c r="C32" s="20">
        <v>26.914495305897407</v>
      </c>
      <c r="D32" s="22" t="s">
        <v>242</v>
      </c>
      <c r="E32" s="37"/>
      <c r="F32" s="37"/>
      <c r="G32" s="38"/>
    </row>
    <row r="33" spans="1:7" ht="21.95" customHeight="1">
      <c r="A33" s="8" t="s">
        <v>23</v>
      </c>
      <c r="B33" s="21">
        <v>0.62319414209380564</v>
      </c>
      <c r="C33" s="36">
        <v>0.61999999999999977</v>
      </c>
      <c r="D33" s="22" t="s">
        <v>242</v>
      </c>
      <c r="E33" s="37"/>
      <c r="F33" s="37"/>
      <c r="G33" s="38"/>
    </row>
    <row r="34" spans="1:7" ht="21.95" customHeight="1">
      <c r="A34" s="8" t="s">
        <v>24</v>
      </c>
      <c r="B34" s="20">
        <v>4.5319074988200532</v>
      </c>
      <c r="C34" s="20">
        <v>4.3597946390720441</v>
      </c>
      <c r="D34" s="22" t="s">
        <v>242</v>
      </c>
      <c r="E34" s="37"/>
      <c r="F34" s="37"/>
      <c r="G34" s="38"/>
    </row>
    <row r="35" spans="1:7" ht="21.95" customHeight="1">
      <c r="A35" s="8" t="s">
        <v>25</v>
      </c>
      <c r="B35" s="21">
        <v>0.16855631141345423</v>
      </c>
      <c r="C35" s="21">
        <v>0.16198686208010526</v>
      </c>
      <c r="D35" s="22" t="s">
        <v>242</v>
      </c>
      <c r="E35" s="37"/>
      <c r="F35" s="37"/>
      <c r="G35" s="39"/>
    </row>
    <row r="36" spans="1:7" ht="21.95" customHeight="1">
      <c r="A36" s="1"/>
      <c r="B36" s="1"/>
      <c r="C36" s="1"/>
      <c r="D36" s="1"/>
      <c r="E36" s="1"/>
      <c r="F36" s="1"/>
      <c r="G36" s="1"/>
    </row>
    <row r="37" spans="1:7" ht="21.95" customHeight="1">
      <c r="A37" s="1"/>
      <c r="B37" s="1"/>
      <c r="C37" s="1"/>
      <c r="D37" s="1"/>
      <c r="E37" s="1"/>
      <c r="F37" s="1"/>
      <c r="G37" s="1"/>
    </row>
    <row r="38" spans="1:7" ht="21.95" customHeight="1">
      <c r="A38" s="1"/>
      <c r="B38" s="1"/>
      <c r="C38" s="1"/>
      <c r="D38" s="1"/>
      <c r="E38" s="1"/>
      <c r="F38" s="1"/>
      <c r="G38" s="1"/>
    </row>
    <row r="39" spans="1:7">
      <c r="A39" s="11" t="s">
        <v>188</v>
      </c>
      <c r="B39" s="11"/>
      <c r="C39" s="11"/>
      <c r="D39" s="11"/>
      <c r="E39" s="11"/>
      <c r="F39" s="11"/>
      <c r="G39" s="11"/>
    </row>
    <row r="40" spans="1:7">
      <c r="A40" s="11" t="s">
        <v>189</v>
      </c>
      <c r="B40" s="11"/>
      <c r="C40" s="11"/>
      <c r="D40" s="11"/>
      <c r="E40" s="11"/>
      <c r="F40" s="11"/>
      <c r="G40" s="11"/>
    </row>
    <row r="41" spans="1:7">
      <c r="A41" s="11" t="s">
        <v>38</v>
      </c>
      <c r="B41" s="11"/>
      <c r="C41" s="11"/>
      <c r="D41" s="11"/>
      <c r="E41" s="11"/>
      <c r="F41" s="11"/>
      <c r="G41" s="11"/>
    </row>
    <row r="42" spans="1:7">
      <c r="A42" s="12" t="s">
        <v>27</v>
      </c>
      <c r="B42" s="12"/>
      <c r="C42" s="12"/>
      <c r="D42" s="12"/>
      <c r="E42" s="12"/>
      <c r="F42" s="12"/>
      <c r="G42" s="12"/>
    </row>
    <row r="43" spans="1:7" ht="21.95" customHeight="1">
      <c r="A43" s="1"/>
      <c r="B43" s="1"/>
      <c r="C43" s="1"/>
      <c r="D43" s="1"/>
      <c r="E43" s="1"/>
      <c r="F43" s="1"/>
      <c r="G43" s="1"/>
    </row>
    <row r="44" spans="1:7" ht="21.95" customHeight="1">
      <c r="A44" s="1"/>
      <c r="B44" s="1"/>
      <c r="C44" s="1"/>
      <c r="D44" s="1"/>
      <c r="E44" s="1"/>
      <c r="F44" s="1"/>
      <c r="G44" s="1"/>
    </row>
    <row r="45" spans="1:7" ht="21.95" customHeight="1">
      <c r="A45" s="1"/>
      <c r="B45" s="1"/>
      <c r="C45" s="1"/>
      <c r="D45" s="1"/>
      <c r="E45" s="1"/>
      <c r="F45" s="1"/>
      <c r="G45" s="1"/>
    </row>
  </sheetData>
  <mergeCells count="1">
    <mergeCell ref="A13:G13"/>
  </mergeCells>
  <conditionalFormatting sqref="D9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conditionalFormatting sqref="F9">
    <cfRule type="cellIs" dxfId="3" priority="3" stopIfTrue="1" operator="greaterThan">
      <formula>0</formula>
    </cfRule>
    <cfRule type="cellIs" dxfId="2" priority="4" stopIfTrue="1" operator="lessThan">
      <formula>0</formula>
    </cfRule>
  </conditionalFormatting>
  <dataValidations count="3">
    <dataValidation type="decimal" sqref="E15:E26" xr:uid="{00000000-0002-0000-0100-000000000000}">
      <formula1>0</formula1>
      <formula2>100000</formula2>
    </dataValidation>
    <dataValidation type="decimal" sqref="B6" xr:uid="{00000000-0002-0000-0100-000001000000}">
      <formula1>0.001</formula1>
      <formula2>100000</formula2>
    </dataValidation>
    <dataValidation type="decimal" sqref="B7:B8" xr:uid="{00000000-0002-0000-0100-000002000000}">
      <formula1>0</formula1>
      <formula2>100000000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D2B3F"/>
  </sheetPr>
  <dimension ref="A1:D59"/>
  <sheetViews>
    <sheetView showGridLines="0" workbookViewId="0">
      <pane ySplit="10" topLeftCell="A11" activePane="bottomLeft" state="frozen"/>
      <selection pane="bottomLeft"/>
    </sheetView>
  </sheetViews>
  <sheetFormatPr defaultRowHeight="14.25"/>
  <cols>
    <col min="1" max="1" width="33" customWidth="1"/>
    <col min="2" max="4" width="31" customWidth="1"/>
  </cols>
  <sheetData>
    <row r="1" spans="1:4" ht="21.95" customHeight="1">
      <c r="A1" s="44"/>
      <c r="B1" s="44"/>
      <c r="C1" s="44"/>
      <c r="D1" s="44"/>
    </row>
    <row r="2" spans="1:4" ht="63" customHeight="1">
      <c r="A2" s="45"/>
      <c r="B2" s="44"/>
      <c r="C2" s="44"/>
      <c r="D2" s="44"/>
    </row>
    <row r="3" spans="1:4" ht="27" customHeight="1">
      <c r="A3" s="44"/>
      <c r="B3" s="44"/>
      <c r="C3" s="44"/>
      <c r="D3" s="44"/>
    </row>
    <row r="4" spans="1:4" ht="21.75" customHeight="1">
      <c r="A4" s="46" t="s">
        <v>190</v>
      </c>
      <c r="B4" s="47"/>
      <c r="C4" s="47"/>
      <c r="D4" s="47"/>
    </row>
    <row r="5" spans="1:4" ht="21.95" customHeight="1">
      <c r="A5" s="48"/>
      <c r="B5" s="48"/>
      <c r="C5" s="48"/>
      <c r="D5" s="48"/>
    </row>
    <row r="6" spans="1:4" ht="57.95" customHeight="1">
      <c r="A6" s="48" t="s">
        <v>39</v>
      </c>
      <c r="B6" s="49" t="str">
        <f>IF(COUNTA('Scenario Data'!B4:F4)=0,"",INDEX('Scenario Data'!B4:F4,1,MATCH(MAX('Scenario Data'!B1:F1),'Scenario Data'!B1:F1,0)))</f>
        <v/>
      </c>
      <c r="C6" s="50"/>
      <c r="D6" s="50"/>
    </row>
    <row r="7" spans="1:4" ht="21.95" customHeight="1">
      <c r="A7" s="51" t="str">
        <f>"Saved scenarios: "&amp;COUNTA('Scenario Data'!B4:F4)&amp;" / 5. When full, confirm replacement of the oldest record."</f>
        <v>Saved scenarios: 0 / 5. When full, confirm replacement of the oldest record.</v>
      </c>
      <c r="B7" s="48"/>
      <c r="C7" s="48"/>
      <c r="D7" s="48"/>
    </row>
    <row r="8" spans="1:4" ht="21.95" hidden="1" customHeight="1">
      <c r="A8" s="48"/>
      <c r="B8" s="48">
        <f>IF(B6="",0,IFERROR(MATCH(B6,'Scenario Data'!$B$4:$F$4,0),0))</f>
        <v>0</v>
      </c>
      <c r="C8" s="48">
        <f>IF(C6="",0,IFERROR(MATCH(C6,'Scenario Data'!$B$4:$F$4,0),0))</f>
        <v>0</v>
      </c>
      <c r="D8" s="48">
        <f>IF(D6="",0,IFERROR(MATCH(D6,'Scenario Data'!$B$4:$F$4,0),0))</f>
        <v>0</v>
      </c>
    </row>
    <row r="9" spans="1:4" ht="21.95" customHeight="1">
      <c r="A9" s="48"/>
      <c r="B9" s="48"/>
      <c r="C9" s="48"/>
      <c r="D9" s="48"/>
    </row>
    <row r="10" spans="1:4" ht="27.95" customHeight="1">
      <c r="A10" s="52" t="s">
        <v>40</v>
      </c>
      <c r="B10" s="52" t="s">
        <v>41</v>
      </c>
      <c r="C10" s="52" t="s">
        <v>42</v>
      </c>
      <c r="D10" s="52" t="s">
        <v>42</v>
      </c>
    </row>
    <row r="11" spans="1:4" ht="21.95" customHeight="1">
      <c r="A11" s="48" t="s">
        <v>43</v>
      </c>
      <c r="B11" s="48" t="str">
        <f>IF(B$8=0,"",IF(ISBLANK(INDEX('Scenario Data'!$B$22:$K$22,1,B$8)),"",INDEX('Scenario Data'!$B$22:$K$22,1,B$8)))</f>
        <v/>
      </c>
      <c r="C11" s="48" t="str">
        <f>IF(C$8=0,"",IF(ISBLANK(INDEX('Scenario Data'!$B$22:$K$22,1,C$8)),"",INDEX('Scenario Data'!$B$22:$K$22,1,C$8)))</f>
        <v/>
      </c>
      <c r="D11" s="48" t="str">
        <f>IF(D$8=0,"",IF(ISBLANK(INDEX('Scenario Data'!$B$22:$K$22,1,D$8)),"",INDEX('Scenario Data'!$B$22:$K$22,1,D$8)))</f>
        <v/>
      </c>
    </row>
    <row r="12" spans="1:4" ht="21.95" customHeight="1">
      <c r="A12" s="53" t="s">
        <v>44</v>
      </c>
      <c r="B12" s="54" t="str">
        <f>IF(B$8=0,"",IF(ISBLANK(INDEX('Scenario Data'!$B$2:$K$2,1,B$8)),"",INDEX('Scenario Data'!$B$2:$K$2,1,B$8)))</f>
        <v/>
      </c>
      <c r="C12" s="54" t="str">
        <f>IF(C$8=0,"",IF(ISBLANK(INDEX('Scenario Data'!$B$2:$K$2,1,C$8)),"",INDEX('Scenario Data'!$B$2:$K$2,1,C$8)))</f>
        <v/>
      </c>
      <c r="D12" s="54" t="str">
        <f>IF(D$8=0,"",IF(ISBLANK(INDEX('Scenario Data'!$B$2:$K$2,1,D$8)),"",INDEX('Scenario Data'!$B$2:$K$2,1,D$8)))</f>
        <v/>
      </c>
    </row>
    <row r="13" spans="1:4" ht="21.95" customHeight="1">
      <c r="A13" s="48" t="s">
        <v>45</v>
      </c>
      <c r="B13" s="48" t="str">
        <f>IF(B$8=0,"",IF(ISBLANK(INDEX('Scenario Data'!$B$3:$K$3,1,B$8)),"",INDEX('Scenario Data'!$B$3:$K$3,1,B$8)))</f>
        <v/>
      </c>
      <c r="C13" s="48" t="str">
        <f>IF(C$8=0,"",IF(ISBLANK(INDEX('Scenario Data'!$B$3:$K$3,1,C$8)),"",INDEX('Scenario Data'!$B$3:$K$3,1,C$8)))</f>
        <v/>
      </c>
      <c r="D13" s="48" t="str">
        <f>IF(D$8=0,"",IF(ISBLANK(INDEX('Scenario Data'!$B$3:$K$3,1,D$8)),"",INDEX('Scenario Data'!$B$3:$K$3,1,D$8)))</f>
        <v/>
      </c>
    </row>
    <row r="14" spans="1:4" ht="21.95" customHeight="1">
      <c r="A14" s="53" t="s">
        <v>46</v>
      </c>
      <c r="B14" s="55" t="str">
        <f>IF(B$8=0,"",IF(ISBLANK(INDEX('Scenario Data'!$B$5:$K$5,1,B$8)),"",INDEX('Scenario Data'!$B$5:$K$5,1,B$8)))</f>
        <v/>
      </c>
      <c r="C14" s="55" t="str">
        <f>IF(C$8=0,"",IF(ISBLANK(INDEX('Scenario Data'!$B$5:$K$5,1,C$8)),"",INDEX('Scenario Data'!$B$5:$K$5,1,C$8)))</f>
        <v/>
      </c>
      <c r="D14" s="55" t="str">
        <f>IF(D$8=0,"",IF(ISBLANK(INDEX('Scenario Data'!$B$5:$K$5,1,D$8)),"",INDEX('Scenario Data'!$B$5:$K$5,1,D$8)))</f>
        <v/>
      </c>
    </row>
    <row r="15" spans="1:4" ht="21.95" customHeight="1">
      <c r="A15" s="48" t="s">
        <v>2</v>
      </c>
      <c r="B15" s="56" t="str">
        <f>IF(B$8=0,"",IF(ISBLANK(INDEX('Scenario Data'!$B$6:$K$6,1,B$8)),"",INDEX('Scenario Data'!$B$6:$K$6,1,B$8)))</f>
        <v/>
      </c>
      <c r="C15" s="56" t="str">
        <f>IF(C$8=0,"",IF(ISBLANK(INDEX('Scenario Data'!$B$6:$K$6,1,C$8)),"",INDEX('Scenario Data'!$B$6:$K$6,1,C$8)))</f>
        <v/>
      </c>
      <c r="D15" s="56" t="str">
        <f>IF(D$8=0,"",IF(ISBLANK(INDEX('Scenario Data'!$B$6:$K$6,1,D$8)),"",INDEX('Scenario Data'!$B$6:$K$6,1,D$8)))</f>
        <v/>
      </c>
    </row>
    <row r="16" spans="1:4" ht="21.95" customHeight="1">
      <c r="A16" s="53" t="s">
        <v>3</v>
      </c>
      <c r="B16" s="57" t="str">
        <f>IF(B$8=0,"",IF(ISBLANK(INDEX('Scenario Data'!$B$7:$K$7,1,B$8)),"",INDEX('Scenario Data'!$B$7:$K$7,1,B$8)))</f>
        <v/>
      </c>
      <c r="C16" s="57" t="str">
        <f>IF(C$8=0,"",IF(ISBLANK(INDEX('Scenario Data'!$B$7:$K$7,1,C$8)),"",INDEX('Scenario Data'!$B$7:$K$7,1,C$8)))</f>
        <v/>
      </c>
      <c r="D16" s="57" t="str">
        <f>IF(D$8=0,"",IF(ISBLANK(INDEX('Scenario Data'!$B$7:$K$7,1,D$8)),"",INDEX('Scenario Data'!$B$7:$K$7,1,D$8)))</f>
        <v/>
      </c>
    </row>
    <row r="17" spans="1:4" ht="21.95" customHeight="1">
      <c r="A17" s="48" t="s">
        <v>47</v>
      </c>
      <c r="B17" s="58" t="str">
        <f>IF(B$8=0,"",IF(ISBLANK(INDEX('Scenario Data'!$B$8:$K$8,1,B$8)),"",INDEX('Scenario Data'!$B$8:$K$8,1,B$8)))</f>
        <v/>
      </c>
      <c r="C17" s="58" t="str">
        <f>IF(C$8=0,"",IF(ISBLANK(INDEX('Scenario Data'!$B$8:$K$8,1,C$8)),"",INDEX('Scenario Data'!$B$8:$K$8,1,C$8)))</f>
        <v/>
      </c>
      <c r="D17" s="58" t="str">
        <f>IF(D$8=0,"",IF(ISBLANK(INDEX('Scenario Data'!$B$8:$K$8,1,D$8)),"",INDEX('Scenario Data'!$B$8:$K$8,1,D$8)))</f>
        <v/>
      </c>
    </row>
    <row r="18" spans="1:4" ht="21.95" customHeight="1">
      <c r="A18" s="53" t="s">
        <v>48</v>
      </c>
      <c r="B18" s="59" t="str">
        <f>IF(B$8=0,"",IF(ISBLANK(INDEX('Scenario Data'!$B$9:$K$9,1,B$8)),"",INDEX('Scenario Data'!$B$9:$K$9,1,B$8)))</f>
        <v/>
      </c>
      <c r="C18" s="59" t="str">
        <f>IF(C$8=0,"",IF(ISBLANK(INDEX('Scenario Data'!$B$9:$K$9,1,C$8)),"",INDEX('Scenario Data'!$B$9:$K$9,1,C$8)))</f>
        <v/>
      </c>
      <c r="D18" s="59" t="str">
        <f>IF(D$8=0,"",IF(ISBLANK(INDEX('Scenario Data'!$B$9:$K$9,1,D$8)),"",INDEX('Scenario Data'!$B$9:$K$9,1,D$8)))</f>
        <v/>
      </c>
    </row>
    <row r="19" spans="1:4" ht="21.95" customHeight="1">
      <c r="A19" s="60" t="s">
        <v>49</v>
      </c>
      <c r="B19" s="61" t="str">
        <f>IF(B$8=0,"",IF(ISBLANK(INDEX('Scenario Data'!$B$10:$K$10,1,B$8)),"",INDEX('Scenario Data'!$B$10:$K$10,1,B$8)))</f>
        <v/>
      </c>
      <c r="C19" s="61" t="str">
        <f>IF(C$8=0,"",IF(ISBLANK(INDEX('Scenario Data'!$B$10:$K$10,1,C$8)),"",INDEX('Scenario Data'!$B$10:$K$10,1,C$8)))</f>
        <v/>
      </c>
      <c r="D19" s="61" t="str">
        <f>IF(D$8=0,"",IF(ISBLANK(INDEX('Scenario Data'!$B$10:$K$10,1,D$8)),"",INDEX('Scenario Data'!$B$10:$K$10,1,D$8)))</f>
        <v/>
      </c>
    </row>
    <row r="20" spans="1:4" ht="21.95" customHeight="1">
      <c r="A20" s="60" t="s">
        <v>50</v>
      </c>
      <c r="B20" s="61" t="str">
        <f>IF(B$8=0,"",IF(ISBLANK(INDEX('Scenario Data'!$B$11:$K$11,1,B$8)),"",INDEX('Scenario Data'!$B$11:$K$11,1,B$8)))</f>
        <v/>
      </c>
      <c r="C20" s="61" t="str">
        <f>IF(C$8=0,"",IF(ISBLANK(INDEX('Scenario Data'!$B$11:$K$11,1,C$8)),"",INDEX('Scenario Data'!$B$11:$K$11,1,C$8)))</f>
        <v/>
      </c>
      <c r="D20" s="61" t="str">
        <f>IF(D$8=0,"",IF(ISBLANK(INDEX('Scenario Data'!$B$11:$K$11,1,D$8)),"",INDEX('Scenario Data'!$B$11:$K$11,1,D$8)))</f>
        <v/>
      </c>
    </row>
    <row r="21" spans="1:4" ht="21.95" customHeight="1">
      <c r="A21" s="62" t="s">
        <v>34</v>
      </c>
      <c r="B21" s="63" t="str">
        <f>IF(B$8=0,"",IF(ISBLANK(INDEX('Scenario Data'!$B$12:$K$12,1,B$8)),"",INDEX('Scenario Data'!$B$12:$K$12,1,B$8)))</f>
        <v/>
      </c>
      <c r="C21" s="63" t="str">
        <f>IF(C$8=0,"",IF(ISBLANK(INDEX('Scenario Data'!$B$12:$K$12,1,C$8)),"",INDEX('Scenario Data'!$B$12:$K$12,1,C$8)))</f>
        <v/>
      </c>
      <c r="D21" s="63" t="str">
        <f>IF(D$8=0,"",IF(ISBLANK(INDEX('Scenario Data'!$B$12:$K$12,1,D$8)),"",INDEX('Scenario Data'!$B$12:$K$12,1,D$8)))</f>
        <v/>
      </c>
    </row>
    <row r="22" spans="1:4" ht="21.95" customHeight="1">
      <c r="A22" s="48"/>
      <c r="B22" s="48"/>
      <c r="C22" s="48"/>
      <c r="D22" s="48"/>
    </row>
    <row r="23" spans="1:4" ht="21.95" customHeight="1">
      <c r="A23" s="48" t="s">
        <v>51</v>
      </c>
      <c r="B23" s="56" t="str">
        <f>IF(B$8=0,"",INDEX('Scenario Data'!$B$38:$F$38,1,B$8))</f>
        <v/>
      </c>
      <c r="C23" s="56" t="str">
        <f>IF(C$8=0,"",INDEX('Scenario Data'!$B$38:$F$38,1,C$8))</f>
        <v/>
      </c>
      <c r="D23" s="56" t="str">
        <f>IF(D$8=0,"",INDEX('Scenario Data'!$B$38:$F$38,1,D$8))</f>
        <v/>
      </c>
    </row>
    <row r="24" spans="1:4" ht="21.95" customHeight="1">
      <c r="A24" s="53" t="s">
        <v>52</v>
      </c>
      <c r="B24" s="57" t="str">
        <f>IF(B$8=0,"",INDEX('Scenario Data'!$B$39:$F$39,1,B$8))</f>
        <v/>
      </c>
      <c r="C24" s="57" t="str">
        <f>IF(C$8=0,"",INDEX('Scenario Data'!$B$39:$F$39,1,C$8))</f>
        <v/>
      </c>
      <c r="D24" s="57" t="str">
        <f>IF(D$8=0,"",INDEX('Scenario Data'!$B$39:$F$39,1,D$8))</f>
        <v/>
      </c>
    </row>
    <row r="25" spans="1:4" ht="21.95" customHeight="1">
      <c r="A25" s="48" t="s">
        <v>53</v>
      </c>
      <c r="B25" s="56" t="str">
        <f>IF(B$8=0,"",INDEX('Scenario Data'!$B$40:$F$40,1,B$8))</f>
        <v/>
      </c>
      <c r="C25" s="56" t="str">
        <f>IF(C$8=0,"",INDEX('Scenario Data'!$B$40:$F$40,1,C$8))</f>
        <v/>
      </c>
      <c r="D25" s="56" t="str">
        <f>IF(D$8=0,"",INDEX('Scenario Data'!$B$40:$F$40,1,D$8))</f>
        <v/>
      </c>
    </row>
    <row r="26" spans="1:4" ht="21.95" customHeight="1">
      <c r="A26" s="53" t="s">
        <v>54</v>
      </c>
      <c r="B26" s="57" t="str">
        <f t="shared" ref="B26:D27" si="0">IF(B$8=0,"",B15-B23)</f>
        <v/>
      </c>
      <c r="C26" s="57" t="str">
        <f t="shared" si="0"/>
        <v/>
      </c>
      <c r="D26" s="57" t="str">
        <f t="shared" si="0"/>
        <v/>
      </c>
    </row>
    <row r="27" spans="1:4" ht="21.95" customHeight="1">
      <c r="A27" s="48" t="s">
        <v>55</v>
      </c>
      <c r="B27" s="56" t="str">
        <f t="shared" si="0"/>
        <v/>
      </c>
      <c r="C27" s="56" t="str">
        <f t="shared" si="0"/>
        <v/>
      </c>
      <c r="D27" s="56" t="str">
        <f t="shared" si="0"/>
        <v/>
      </c>
    </row>
    <row r="28" spans="1:4" ht="21.95" customHeight="1">
      <c r="A28" s="53" t="s">
        <v>56</v>
      </c>
      <c r="B28" s="57" t="str">
        <f>IF(B$8=0,"",INDEX('Scenario Data'!$B$20:$F$20,1,B$8))</f>
        <v/>
      </c>
      <c r="C28" s="57" t="str">
        <f>IF(C$8=0,"",INDEX('Scenario Data'!$B$20:$F$20,1,C$8))</f>
        <v/>
      </c>
      <c r="D28" s="57" t="str">
        <f>IF(D$8=0,"",INDEX('Scenario Data'!$B$20:$F$20,1,D$8))</f>
        <v/>
      </c>
    </row>
    <row r="29" spans="1:4" ht="21.95" customHeight="1">
      <c r="A29" s="48" t="s">
        <v>57</v>
      </c>
      <c r="B29" s="48" t="str">
        <f>IF(B$8=0,"",IF(OR(B26&lt;-0.001,B27&lt;-0.001),"Stock exceeded","Within available stock"))</f>
        <v/>
      </c>
      <c r="C29" s="48" t="str">
        <f>IF(C$8=0,"",IF(OR(C26&lt;-0.001,C27&lt;-0.001),"Stock exceeded","Within available stock"))</f>
        <v/>
      </c>
      <c r="D29" s="48" t="str">
        <f>IF(D$8=0,"",IF(OR(D26&lt;-0.001,D27&lt;-0.001),"Stock exceeded","Within available stock"))</f>
        <v/>
      </c>
    </row>
    <row r="30" spans="1:4" ht="21.95" customHeight="1">
      <c r="A30" s="48"/>
      <c r="B30" s="48"/>
      <c r="C30" s="48"/>
      <c r="D30" s="48"/>
    </row>
    <row r="31" spans="1:4" ht="27.95" customHeight="1">
      <c r="A31" s="52" t="s">
        <v>58</v>
      </c>
      <c r="B31" s="52" t="s">
        <v>41</v>
      </c>
      <c r="C31" s="52" t="s">
        <v>42</v>
      </c>
      <c r="D31" s="52" t="s">
        <v>42</v>
      </c>
    </row>
    <row r="32" spans="1:4" ht="21.95" customHeight="1">
      <c r="A32" s="48" t="s">
        <v>10</v>
      </c>
      <c r="B32" s="56" t="str">
        <f>IF(B$8=0,"",IF(ISBLANK(INDEX('Scenario Data'!$B$38:$K$38,1,B$8)),"",INDEX('Scenario Data'!$B$38:$K$38,1,B$8)))</f>
        <v/>
      </c>
      <c r="C32" s="56" t="str">
        <f>IF(C$8=0,"",IF(ISBLANK(INDEX('Scenario Data'!$B$38:$K$38,1,C$8)),"",INDEX('Scenario Data'!$B$38:$K$38,1,C$8)))</f>
        <v/>
      </c>
      <c r="D32" s="56" t="str">
        <f>IF(D$8=0,"",IF(ISBLANK(INDEX('Scenario Data'!$B$38:$K$38,1,D$8)),"",INDEX('Scenario Data'!$B$38:$K$38,1,D$8)))</f>
        <v/>
      </c>
    </row>
    <row r="33" spans="1:4" ht="21.95" customHeight="1">
      <c r="A33" s="53" t="s">
        <v>11</v>
      </c>
      <c r="B33" s="57" t="str">
        <f>IF(B$8=0,"",IF(ISBLANK(INDEX('Scenario Data'!$B$39:$K$39,1,B$8)),"",INDEX('Scenario Data'!$B$39:$K$39,1,B$8)))</f>
        <v/>
      </c>
      <c r="C33" s="57" t="str">
        <f>IF(C$8=0,"",IF(ISBLANK(INDEX('Scenario Data'!$B$39:$K$39,1,C$8)),"",INDEX('Scenario Data'!$B$39:$K$39,1,C$8)))</f>
        <v/>
      </c>
      <c r="D33" s="57" t="str">
        <f>IF(D$8=0,"",IF(ISBLANK(INDEX('Scenario Data'!$B$39:$K$39,1,D$8)),"",INDEX('Scenario Data'!$B$39:$K$39,1,D$8)))</f>
        <v/>
      </c>
    </row>
    <row r="34" spans="1:4" ht="21.95" customHeight="1">
      <c r="A34" s="48" t="s">
        <v>12</v>
      </c>
      <c r="B34" s="56" t="str">
        <f>IF(B$8=0,"",IF(ISBLANK(INDEX('Scenario Data'!$B$40:$K$40,1,B$8)),"",INDEX('Scenario Data'!$B$40:$K$40,1,B$8)))</f>
        <v/>
      </c>
      <c r="C34" s="56" t="str">
        <f>IF(C$8=0,"",IF(ISBLANK(INDEX('Scenario Data'!$B$40:$K$40,1,C$8)),"",INDEX('Scenario Data'!$B$40:$K$40,1,C$8)))</f>
        <v/>
      </c>
      <c r="D34" s="56" t="str">
        <f>IF(D$8=0,"",IF(ISBLANK(INDEX('Scenario Data'!$B$40:$K$40,1,D$8)),"",INDEX('Scenario Data'!$B$40:$K$40,1,D$8)))</f>
        <v/>
      </c>
    </row>
    <row r="35" spans="1:4" ht="21.95" customHeight="1">
      <c r="A35" s="53" t="s">
        <v>13</v>
      </c>
      <c r="B35" s="57" t="str">
        <f>IF(B$8=0,"",IF(ISBLANK(INDEX('Scenario Data'!$B$41:$K$41,1,B$8)),"",INDEX('Scenario Data'!$B$41:$K$41,1,B$8)))</f>
        <v/>
      </c>
      <c r="C35" s="57" t="str">
        <f>IF(C$8=0,"",IF(ISBLANK(INDEX('Scenario Data'!$B$41:$K$41,1,C$8)),"",INDEX('Scenario Data'!$B$41:$K$41,1,C$8)))</f>
        <v/>
      </c>
      <c r="D35" s="57" t="str">
        <f>IF(D$8=0,"",IF(ISBLANK(INDEX('Scenario Data'!$B$41:$K$41,1,D$8)),"",INDEX('Scenario Data'!$B$41:$K$41,1,D$8)))</f>
        <v/>
      </c>
    </row>
    <row r="36" spans="1:4" ht="21.95" customHeight="1">
      <c r="A36" s="48" t="s">
        <v>14</v>
      </c>
      <c r="B36" s="56" t="str">
        <f>IF(B$8=0,"",IF(ISBLANK(INDEX('Scenario Data'!$B$42:$K$42,1,B$8)),"",INDEX('Scenario Data'!$B$42:$K$42,1,B$8)))</f>
        <v/>
      </c>
      <c r="C36" s="56" t="str">
        <f>IF(C$8=0,"",IF(ISBLANK(INDEX('Scenario Data'!$B$42:$K$42,1,C$8)),"",INDEX('Scenario Data'!$B$42:$K$42,1,C$8)))</f>
        <v/>
      </c>
      <c r="D36" s="56" t="str">
        <f>IF(D$8=0,"",IF(ISBLANK(INDEX('Scenario Data'!$B$42:$K$42,1,D$8)),"",INDEX('Scenario Data'!$B$42:$K$42,1,D$8)))</f>
        <v/>
      </c>
    </row>
    <row r="37" spans="1:4" ht="21.95" customHeight="1">
      <c r="A37" s="53" t="s">
        <v>15</v>
      </c>
      <c r="B37" s="57" t="str">
        <f>IF(B$8=0,"",IF(ISBLANK(INDEX('Scenario Data'!$B$43:$K$43,1,B$8)),"",INDEX('Scenario Data'!$B$43:$K$43,1,B$8)))</f>
        <v/>
      </c>
      <c r="C37" s="57" t="str">
        <f>IF(C$8=0,"",IF(ISBLANK(INDEX('Scenario Data'!$B$43:$K$43,1,C$8)),"",INDEX('Scenario Data'!$B$43:$K$43,1,C$8)))</f>
        <v/>
      </c>
      <c r="D37" s="57" t="str">
        <f>IF(D$8=0,"",IF(ISBLANK(INDEX('Scenario Data'!$B$43:$K$43,1,D$8)),"",INDEX('Scenario Data'!$B$43:$K$43,1,D$8)))</f>
        <v/>
      </c>
    </row>
    <row r="38" spans="1:4" ht="21.95" customHeight="1">
      <c r="A38" s="48" t="s">
        <v>182</v>
      </c>
      <c r="B38" s="56" t="str">
        <f>IF(B$8=0,"",IF(ISBLANK(INDEX('Scenario Data'!$B$44:$K$44,1,B$8)),"",INDEX('Scenario Data'!$B$44:$K$44,1,B$8)))</f>
        <v/>
      </c>
      <c r="C38" s="56" t="str">
        <f>IF(C$8=0,"",IF(ISBLANK(INDEX('Scenario Data'!$B$44:$K$44,1,C$8)),"",INDEX('Scenario Data'!$B$44:$K$44,1,C$8)))</f>
        <v/>
      </c>
      <c r="D38" s="56" t="str">
        <f>IF(D$8=0,"",IF(ISBLANK(INDEX('Scenario Data'!$B$44:$K$44,1,D$8)),"",INDEX('Scenario Data'!$B$44:$K$44,1,D$8)))</f>
        <v/>
      </c>
    </row>
    <row r="39" spans="1:4" ht="21.95" customHeight="1">
      <c r="A39" s="53" t="s">
        <v>183</v>
      </c>
      <c r="B39" s="57" t="str">
        <f>IF(B$8=0,"",IF(ISBLANK(INDEX('Scenario Data'!$B$45:$K$45,1,B$8)),"",INDEX('Scenario Data'!$B$45:$K$45,1,B$8)))</f>
        <v/>
      </c>
      <c r="C39" s="57" t="str">
        <f>IF(C$8=0,"",IF(ISBLANK(INDEX('Scenario Data'!$B$45:$K$45,1,C$8)),"",INDEX('Scenario Data'!$B$45:$K$45,1,C$8)))</f>
        <v/>
      </c>
      <c r="D39" s="57" t="str">
        <f>IF(D$8=0,"",IF(ISBLANK(INDEX('Scenario Data'!$B$45:$K$45,1,D$8)),"",INDEX('Scenario Data'!$B$45:$K$45,1,D$8)))</f>
        <v/>
      </c>
    </row>
    <row r="40" spans="1:4" ht="21.95" customHeight="1">
      <c r="A40" s="48" t="s">
        <v>184</v>
      </c>
      <c r="B40" s="56" t="str">
        <f>IF(B$8=0,"",IF(ISBLANK(INDEX('Scenario Data'!$B$46:$K$46,1,B$8)),"",INDEX('Scenario Data'!$B$46:$K$46,1,B$8)))</f>
        <v/>
      </c>
      <c r="C40" s="56" t="str">
        <f>IF(C$8=0,"",IF(ISBLANK(INDEX('Scenario Data'!$B$46:$K$46,1,C$8)),"",INDEX('Scenario Data'!$B$46:$K$46,1,C$8)))</f>
        <v/>
      </c>
      <c r="D40" s="56" t="str">
        <f>IF(D$8=0,"",IF(ISBLANK(INDEX('Scenario Data'!$B$46:$K$46,1,D$8)),"",INDEX('Scenario Data'!$B$46:$K$46,1,D$8)))</f>
        <v/>
      </c>
    </row>
    <row r="41" spans="1:4" ht="21.95" customHeight="1">
      <c r="A41" s="53" t="s">
        <v>185</v>
      </c>
      <c r="B41" s="57" t="str">
        <f>IF(B$8=0,"",IF(ISBLANK(INDEX('Scenario Data'!$B$47:$K$47,1,B$8)),"",INDEX('Scenario Data'!$B$47:$K$47,1,B$8)))</f>
        <v/>
      </c>
      <c r="C41" s="57" t="str">
        <f>IF(C$8=0,"",IF(ISBLANK(INDEX('Scenario Data'!$B$47:$K$47,1,C$8)),"",INDEX('Scenario Data'!$B$47:$K$47,1,C$8)))</f>
        <v/>
      </c>
      <c r="D41" s="57" t="str">
        <f>IF(D$8=0,"",IF(ISBLANK(INDEX('Scenario Data'!$B$47:$K$47,1,D$8)),"",INDEX('Scenario Data'!$B$47:$K$47,1,D$8)))</f>
        <v/>
      </c>
    </row>
    <row r="42" spans="1:4" ht="21.95" customHeight="1">
      <c r="A42" s="48" t="s">
        <v>186</v>
      </c>
      <c r="B42" s="56" t="str">
        <f>IF(B$8=0,"",IF(ISBLANK(INDEX('Scenario Data'!$B$48:$K$48,1,B$8)),"",INDEX('Scenario Data'!$B$48:$K$48,1,B$8)))</f>
        <v/>
      </c>
      <c r="C42" s="56" t="str">
        <f>IF(C$8=0,"",IF(ISBLANK(INDEX('Scenario Data'!$B$48:$K$48,1,C$8)),"",INDEX('Scenario Data'!$B$48:$K$48,1,C$8)))</f>
        <v/>
      </c>
      <c r="D42" s="56" t="str">
        <f>IF(D$8=0,"",IF(ISBLANK(INDEX('Scenario Data'!$B$48:$K$48,1,D$8)),"",INDEX('Scenario Data'!$B$48:$K$48,1,D$8)))</f>
        <v/>
      </c>
    </row>
    <row r="43" spans="1:4" ht="21.95" customHeight="1">
      <c r="A43" s="53" t="s">
        <v>187</v>
      </c>
      <c r="B43" s="57" t="str">
        <f>IF(B$8=0,"",IF(ISBLANK(INDEX('Scenario Data'!$B$49:$K$49,1,B$8)),"",INDEX('Scenario Data'!$B$49:$K$49,1,B$8)))</f>
        <v/>
      </c>
      <c r="C43" s="57" t="str">
        <f>IF(C$8=0,"",IF(ISBLANK(INDEX('Scenario Data'!$B$49:$K$49,1,C$8)),"",INDEX('Scenario Data'!$B$49:$K$49,1,C$8)))</f>
        <v/>
      </c>
      <c r="D43" s="57" t="str">
        <f>IF(D$8=0,"",IF(ISBLANK(INDEX('Scenario Data'!$B$49:$K$49,1,D$8)),"",INDEX('Scenario Data'!$B$49:$K$49,1,D$8)))</f>
        <v/>
      </c>
    </row>
    <row r="44" spans="1:4" ht="21.95" customHeight="1">
      <c r="A44" s="48"/>
      <c r="B44" s="48"/>
      <c r="C44" s="48"/>
      <c r="D44" s="48"/>
    </row>
    <row r="45" spans="1:4" ht="27.95" customHeight="1">
      <c r="A45" s="52" t="s">
        <v>59</v>
      </c>
      <c r="B45" s="52" t="s">
        <v>41</v>
      </c>
      <c r="C45" s="52" t="s">
        <v>42</v>
      </c>
      <c r="D45" s="52" t="s">
        <v>42</v>
      </c>
    </row>
    <row r="46" spans="1:4" ht="21.95" customHeight="1">
      <c r="A46" s="48" t="s">
        <v>10</v>
      </c>
      <c r="B46" s="56" t="str">
        <f>IF(B$8=0,"",IF(ISBLANK(INDEX('Scenario Data'!$B$51:$K$51,1,B$8)),"",INDEX('Scenario Data'!$B$51:$K$51,1,B$8)))</f>
        <v/>
      </c>
      <c r="C46" s="56" t="str">
        <f>IF(C$8=0,"",IF(ISBLANK(INDEX('Scenario Data'!$B$51:$K$51,1,C$8)),"",INDEX('Scenario Data'!$B$51:$K$51,1,C$8)))</f>
        <v/>
      </c>
      <c r="D46" s="56" t="str">
        <f>IF(D$8=0,"",IF(ISBLANK(INDEX('Scenario Data'!$B$51:$K$51,1,D$8)),"",INDEX('Scenario Data'!$B$51:$K$51,1,D$8)))</f>
        <v/>
      </c>
    </row>
    <row r="47" spans="1:4" ht="21.95" customHeight="1">
      <c r="A47" s="53" t="s">
        <v>11</v>
      </c>
      <c r="B47" s="57" t="str">
        <f>IF(B$8=0,"",IF(ISBLANK(INDEX('Scenario Data'!$B$52:$K$52,1,B$8)),"",INDEX('Scenario Data'!$B$52:$K$52,1,B$8)))</f>
        <v/>
      </c>
      <c r="C47" s="57" t="str">
        <f>IF(C$8=0,"",IF(ISBLANK(INDEX('Scenario Data'!$B$52:$K$52,1,C$8)),"",INDEX('Scenario Data'!$B$52:$K$52,1,C$8)))</f>
        <v/>
      </c>
      <c r="D47" s="57" t="str">
        <f>IF(D$8=0,"",IF(ISBLANK(INDEX('Scenario Data'!$B$52:$K$52,1,D$8)),"",INDEX('Scenario Data'!$B$52:$K$52,1,D$8)))</f>
        <v/>
      </c>
    </row>
    <row r="48" spans="1:4" ht="21.95" customHeight="1">
      <c r="A48" s="48" t="s">
        <v>12</v>
      </c>
      <c r="B48" s="56" t="str">
        <f>IF(B$8=0,"",IF(ISBLANK(INDEX('Scenario Data'!$B$53:$K$53,1,B$8)),"",INDEX('Scenario Data'!$B$53:$K$53,1,B$8)))</f>
        <v/>
      </c>
      <c r="C48" s="56" t="str">
        <f>IF(C$8=0,"",IF(ISBLANK(INDEX('Scenario Data'!$B$53:$K$53,1,C$8)),"",INDEX('Scenario Data'!$B$53:$K$53,1,C$8)))</f>
        <v/>
      </c>
      <c r="D48" s="56" t="str">
        <f>IF(D$8=0,"",IF(ISBLANK(INDEX('Scenario Data'!$B$53:$K$53,1,D$8)),"",INDEX('Scenario Data'!$B$53:$K$53,1,D$8)))</f>
        <v/>
      </c>
    </row>
    <row r="49" spans="1:4" ht="21.95" customHeight="1">
      <c r="A49" s="53" t="s">
        <v>13</v>
      </c>
      <c r="B49" s="57" t="str">
        <f>IF(B$8=0,"",IF(ISBLANK(INDEX('Scenario Data'!$B$54:$K$54,1,B$8)),"",INDEX('Scenario Data'!$B$54:$K$54,1,B$8)))</f>
        <v/>
      </c>
      <c r="C49" s="57" t="str">
        <f>IF(C$8=0,"",IF(ISBLANK(INDEX('Scenario Data'!$B$54:$K$54,1,C$8)),"",INDEX('Scenario Data'!$B$54:$K$54,1,C$8)))</f>
        <v/>
      </c>
      <c r="D49" s="57" t="str">
        <f>IF(D$8=0,"",IF(ISBLANK(INDEX('Scenario Data'!$B$54:$K$54,1,D$8)),"",INDEX('Scenario Data'!$B$54:$K$54,1,D$8)))</f>
        <v/>
      </c>
    </row>
    <row r="50" spans="1:4" ht="21.95" customHeight="1">
      <c r="A50" s="48" t="s">
        <v>14</v>
      </c>
      <c r="B50" s="56" t="str">
        <f>IF(B$8=0,"",IF(ISBLANK(INDEX('Scenario Data'!$B$55:$K$55,1,B$8)),"",INDEX('Scenario Data'!$B$55:$K$55,1,B$8)))</f>
        <v/>
      </c>
      <c r="C50" s="56" t="str">
        <f>IF(C$8=0,"",IF(ISBLANK(INDEX('Scenario Data'!$B$55:$K$55,1,C$8)),"",INDEX('Scenario Data'!$B$55:$K$55,1,C$8)))</f>
        <v/>
      </c>
      <c r="D50" s="56" t="str">
        <f>IF(D$8=0,"",IF(ISBLANK(INDEX('Scenario Data'!$B$55:$K$55,1,D$8)),"",INDEX('Scenario Data'!$B$55:$K$55,1,D$8)))</f>
        <v/>
      </c>
    </row>
    <row r="51" spans="1:4" ht="21.95" customHeight="1">
      <c r="A51" s="53" t="s">
        <v>15</v>
      </c>
      <c r="B51" s="57" t="str">
        <f>IF(B$8=0,"",IF(ISBLANK(INDEX('Scenario Data'!$B$56:$K$56,1,B$8)),"",INDEX('Scenario Data'!$B$56:$K$56,1,B$8)))</f>
        <v/>
      </c>
      <c r="C51" s="57" t="str">
        <f>IF(C$8=0,"",IF(ISBLANK(INDEX('Scenario Data'!$B$56:$K$56,1,C$8)),"",INDEX('Scenario Data'!$B$56:$K$56,1,C$8)))</f>
        <v/>
      </c>
      <c r="D51" s="57" t="str">
        <f>IF(D$8=0,"",IF(ISBLANK(INDEX('Scenario Data'!$B$56:$K$56,1,D$8)),"",INDEX('Scenario Data'!$B$56:$K$56,1,D$8)))</f>
        <v/>
      </c>
    </row>
    <row r="52" spans="1:4" ht="21.95" customHeight="1">
      <c r="A52" s="48" t="s">
        <v>182</v>
      </c>
      <c r="B52" s="56" t="str">
        <f>IF(B$8=0,"",IF(ISBLANK(INDEX('Scenario Data'!$B$57:$K$57,1,B$8)),"",INDEX('Scenario Data'!$B$57:$K$57,1,B$8)))</f>
        <v/>
      </c>
      <c r="C52" s="56" t="str">
        <f>IF(C$8=0,"",IF(ISBLANK(INDEX('Scenario Data'!$B$57:$K$57,1,C$8)),"",INDEX('Scenario Data'!$B$57:$K$57,1,C$8)))</f>
        <v/>
      </c>
      <c r="D52" s="56" t="str">
        <f>IF(D$8=0,"",IF(ISBLANK(INDEX('Scenario Data'!$B$57:$K$57,1,D$8)),"",INDEX('Scenario Data'!$B$57:$K$57,1,D$8)))</f>
        <v/>
      </c>
    </row>
    <row r="53" spans="1:4" ht="21.95" customHeight="1">
      <c r="A53" s="53" t="s">
        <v>183</v>
      </c>
      <c r="B53" s="57" t="str">
        <f>IF(B$8=0,"",IF(ISBLANK(INDEX('Scenario Data'!$B$58:$K$58,1,B$8)),"",INDEX('Scenario Data'!$B$58:$K$58,1,B$8)))</f>
        <v/>
      </c>
      <c r="C53" s="57" t="str">
        <f>IF(C$8=0,"",IF(ISBLANK(INDEX('Scenario Data'!$B$58:$K$58,1,C$8)),"",INDEX('Scenario Data'!$B$58:$K$58,1,C$8)))</f>
        <v/>
      </c>
      <c r="D53" s="57" t="str">
        <f>IF(D$8=0,"",IF(ISBLANK(INDEX('Scenario Data'!$B$58:$K$58,1,D$8)),"",INDEX('Scenario Data'!$B$58:$K$58,1,D$8)))</f>
        <v/>
      </c>
    </row>
    <row r="54" spans="1:4" ht="21.95" customHeight="1">
      <c r="A54" s="48" t="s">
        <v>184</v>
      </c>
      <c r="B54" s="56" t="str">
        <f>IF(B$8=0,"",IF(ISBLANK(INDEX('Scenario Data'!$B$59:$K$59,1,B$8)),"",INDEX('Scenario Data'!$B$59:$K$59,1,B$8)))</f>
        <v/>
      </c>
      <c r="C54" s="56" t="str">
        <f>IF(C$8=0,"",IF(ISBLANK(INDEX('Scenario Data'!$B$59:$K$59,1,C$8)),"",INDEX('Scenario Data'!$B$59:$K$59,1,C$8)))</f>
        <v/>
      </c>
      <c r="D54" s="56" t="str">
        <f>IF(D$8=0,"",IF(ISBLANK(INDEX('Scenario Data'!$B$59:$K$59,1,D$8)),"",INDEX('Scenario Data'!$B$59:$K$59,1,D$8)))</f>
        <v/>
      </c>
    </row>
    <row r="55" spans="1:4" ht="21.95" customHeight="1">
      <c r="A55" s="53" t="s">
        <v>185</v>
      </c>
      <c r="B55" s="57" t="str">
        <f>IF(B$8=0,"",IF(ISBLANK(INDEX('Scenario Data'!$B$60:$K$60,1,B$8)),"",INDEX('Scenario Data'!$B$60:$K$60,1,B$8)))</f>
        <v/>
      </c>
      <c r="C55" s="57" t="str">
        <f>IF(C$8=0,"",IF(ISBLANK(INDEX('Scenario Data'!$B$60:$K$60,1,C$8)),"",INDEX('Scenario Data'!$B$60:$K$60,1,C$8)))</f>
        <v/>
      </c>
      <c r="D55" s="57" t="str">
        <f>IF(D$8=0,"",IF(ISBLANK(INDEX('Scenario Data'!$B$60:$K$60,1,D$8)),"",INDEX('Scenario Data'!$B$60:$K$60,1,D$8)))</f>
        <v/>
      </c>
    </row>
    <row r="56" spans="1:4" ht="21.95" customHeight="1">
      <c r="A56" s="48" t="s">
        <v>186</v>
      </c>
      <c r="B56" s="56" t="str">
        <f>IF(B$8=0,"",IF(ISBLANK(INDEX('Scenario Data'!$B$61:$K$61,1,B$8)),"",INDEX('Scenario Data'!$B$61:$K$61,1,B$8)))</f>
        <v/>
      </c>
      <c r="C56" s="56" t="str">
        <f>IF(C$8=0,"",IF(ISBLANK(INDEX('Scenario Data'!$B$61:$K$61,1,C$8)),"",INDEX('Scenario Data'!$B$61:$K$61,1,C$8)))</f>
        <v/>
      </c>
      <c r="D56" s="56" t="str">
        <f>IF(D$8=0,"",IF(ISBLANK(INDEX('Scenario Data'!$B$61:$K$61,1,D$8)),"",INDEX('Scenario Data'!$B$61:$K$61,1,D$8)))</f>
        <v/>
      </c>
    </row>
    <row r="57" spans="1:4" ht="21.95" customHeight="1">
      <c r="A57" s="53" t="s">
        <v>187</v>
      </c>
      <c r="B57" s="57" t="str">
        <f>IF(B$8=0,"",IF(ISBLANK(INDEX('Scenario Data'!$B$62:$K$62,1,B$8)),"",INDEX('Scenario Data'!$B$62:$K$62,1,B$8)))</f>
        <v/>
      </c>
      <c r="C57" s="57" t="str">
        <f>IF(C$8=0,"",IF(ISBLANK(INDEX('Scenario Data'!$B$62:$K$62,1,C$8)),"",INDEX('Scenario Data'!$B$62:$K$62,1,C$8)))</f>
        <v/>
      </c>
      <c r="D57" s="57" t="str">
        <f>IF(D$8=0,"",IF(ISBLANK(INDEX('Scenario Data'!$B$62:$K$62,1,D$8)),"",INDEX('Scenario Data'!$B$62:$K$62,1,D$8)))</f>
        <v/>
      </c>
    </row>
    <row r="58" spans="1:4" ht="21.95" customHeight="1">
      <c r="A58" s="48"/>
      <c r="B58" s="48"/>
      <c r="C58" s="48"/>
      <c r="D58" s="48"/>
    </row>
    <row r="59" spans="1:4" ht="21.95" customHeight="1">
      <c r="A59" s="11" t="s">
        <v>60</v>
      </c>
      <c r="B59" s="48"/>
      <c r="C59" s="48"/>
      <c r="D59" s="48"/>
    </row>
  </sheetData>
  <conditionalFormatting sqref="B19:D20">
    <cfRule type="cellIs" dxfId="1" priority="1" operator="lessThan">
      <formula>0</formula>
    </cfRule>
  </conditionalFormatting>
  <conditionalFormatting sqref="B26:D27">
    <cfRule type="cellIs" dxfId="0" priority="2" operator="lessThan">
      <formula>-0.001</formula>
    </cfRule>
  </conditionalFormatting>
  <dataValidations count="1">
    <dataValidation type="list" allowBlank="1" showInputMessage="1" showErrorMessage="1" sqref="C6:D6" xr:uid="{00000000-0002-0000-0200-000000000000}">
      <formula1>ScenarioLabels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244B63"/>
  </sheetPr>
  <dimension ref="A1:D19"/>
  <sheetViews>
    <sheetView showGridLines="0" workbookViewId="0"/>
  </sheetViews>
  <sheetFormatPr defaultRowHeight="14.25"/>
  <cols>
    <col min="1" max="1" width="32" customWidth="1"/>
    <col min="2" max="2" width="24" customWidth="1"/>
    <col min="3" max="3" width="28.625" customWidth="1"/>
  </cols>
  <sheetData>
    <row r="1" spans="1:4" ht="24" customHeight="1">
      <c r="A1" s="28"/>
      <c r="B1" s="28"/>
      <c r="C1" s="28"/>
      <c r="D1" s="2"/>
    </row>
    <row r="2" spans="1:4" ht="24" customHeight="1">
      <c r="A2" s="29"/>
      <c r="B2" s="28"/>
      <c r="C2" s="28"/>
      <c r="D2" s="2"/>
    </row>
    <row r="3" spans="1:4" ht="57" customHeight="1">
      <c r="A3" s="28"/>
      <c r="B3" s="28"/>
      <c r="C3" s="28"/>
      <c r="D3" s="2"/>
    </row>
    <row r="4" spans="1:4" ht="24" customHeight="1">
      <c r="A4" s="30" t="s">
        <v>191</v>
      </c>
      <c r="B4" s="28"/>
      <c r="C4" s="28"/>
      <c r="D4" s="2"/>
    </row>
    <row r="5" spans="1:4" ht="24" customHeight="1">
      <c r="A5" s="28"/>
      <c r="B5" s="28"/>
      <c r="C5" s="28"/>
      <c r="D5" s="2"/>
    </row>
    <row r="6" spans="1:4" ht="33.950000000000003" customHeight="1">
      <c r="A6" s="31" t="s">
        <v>6</v>
      </c>
      <c r="B6" s="32" t="s">
        <v>61</v>
      </c>
      <c r="C6" s="32" t="s">
        <v>62</v>
      </c>
      <c r="D6" s="2"/>
    </row>
    <row r="7" spans="1:4" ht="24" customHeight="1">
      <c r="A7" s="2" t="s">
        <v>12</v>
      </c>
      <c r="B7" s="33"/>
      <c r="C7" s="33"/>
      <c r="D7" s="2"/>
    </row>
    <row r="8" spans="1:4" ht="24" customHeight="1">
      <c r="A8" s="2" t="s">
        <v>13</v>
      </c>
      <c r="B8" s="33"/>
      <c r="C8" s="33"/>
      <c r="D8" s="2"/>
    </row>
    <row r="9" spans="1:4" ht="24" customHeight="1">
      <c r="A9" s="2" t="s">
        <v>14</v>
      </c>
      <c r="B9" s="33"/>
      <c r="C9" s="33"/>
      <c r="D9" s="2"/>
    </row>
    <row r="10" spans="1:4" ht="24" customHeight="1">
      <c r="A10" s="2" t="s">
        <v>15</v>
      </c>
      <c r="B10" s="33"/>
      <c r="C10" s="33"/>
      <c r="D10" s="2"/>
    </row>
    <row r="11" spans="1:4" ht="24" customHeight="1">
      <c r="A11" s="2" t="s">
        <v>182</v>
      </c>
      <c r="B11" s="33"/>
      <c r="C11" s="33"/>
      <c r="D11" s="2"/>
    </row>
    <row r="12" spans="1:4" ht="24" customHeight="1">
      <c r="A12" s="2" t="s">
        <v>183</v>
      </c>
      <c r="B12" s="33"/>
      <c r="C12" s="33"/>
      <c r="D12" s="2"/>
    </row>
    <row r="13" spans="1:4" ht="24" customHeight="1">
      <c r="A13" s="2" t="s">
        <v>184</v>
      </c>
      <c r="B13" s="33"/>
      <c r="C13" s="33"/>
      <c r="D13" s="2"/>
    </row>
    <row r="14" spans="1:4" ht="24" customHeight="1">
      <c r="A14" s="2" t="s">
        <v>185</v>
      </c>
      <c r="B14" s="33"/>
      <c r="C14" s="33"/>
      <c r="D14" s="2"/>
    </row>
    <row r="15" spans="1:4" ht="24" customHeight="1">
      <c r="A15" s="2" t="s">
        <v>186</v>
      </c>
      <c r="B15" s="33"/>
      <c r="C15" s="33"/>
      <c r="D15" s="2"/>
    </row>
    <row r="16" spans="1:4" ht="24" customHeight="1">
      <c r="A16" s="2" t="s">
        <v>187</v>
      </c>
      <c r="B16" s="33"/>
      <c r="C16" s="33"/>
      <c r="D16" s="2"/>
    </row>
    <row r="17" spans="1:4" ht="24" customHeight="1">
      <c r="A17" s="2"/>
      <c r="B17" s="2"/>
      <c r="C17" s="2"/>
      <c r="D17" s="2"/>
    </row>
    <row r="18" spans="1:4" ht="24" customHeight="1">
      <c r="A18" s="34" t="s">
        <v>63</v>
      </c>
      <c r="B18" s="2"/>
      <c r="C18" s="2"/>
      <c r="D18" s="2"/>
    </row>
    <row r="19" spans="1:4" ht="24" customHeight="1">
      <c r="A19" s="2"/>
      <c r="B19" s="2"/>
      <c r="C19" s="2"/>
      <c r="D19" s="2"/>
    </row>
  </sheetData>
  <dataValidations count="1">
    <dataValidation type="decimal" sqref="B7:C16" xr:uid="{00000000-0002-0000-0300-000000000000}">
      <formula1>0</formula1>
      <formula2>100000000</formula2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47"/>
  <sheetViews>
    <sheetView workbookViewId="0"/>
  </sheetViews>
  <sheetFormatPr defaultRowHeight="14.25"/>
  <sheetData>
    <row r="1" spans="1:17">
      <c r="A1" t="s">
        <v>64</v>
      </c>
      <c r="P1" t="s">
        <v>65</v>
      </c>
      <c r="Q1">
        <v>1</v>
      </c>
    </row>
    <row r="2" spans="1:17">
      <c r="A2" t="s">
        <v>66</v>
      </c>
      <c r="M2">
        <v>46296.628622685188</v>
      </c>
      <c r="N2">
        <v>46296.628668981481</v>
      </c>
    </row>
    <row r="3" spans="1:17">
      <c r="A3" t="s">
        <v>67</v>
      </c>
      <c r="M3" t="s">
        <v>244</v>
      </c>
      <c r="N3" t="s">
        <v>248</v>
      </c>
    </row>
    <row r="4" spans="1:17">
      <c r="A4" t="s">
        <v>68</v>
      </c>
    </row>
    <row r="5" spans="1:17">
      <c r="A5" t="s">
        <v>69</v>
      </c>
      <c r="M5">
        <v>10</v>
      </c>
      <c r="N5">
        <v>10</v>
      </c>
    </row>
    <row r="6" spans="1:17">
      <c r="A6" t="s">
        <v>70</v>
      </c>
      <c r="M6">
        <v>2400</v>
      </c>
      <c r="N6">
        <v>2400</v>
      </c>
    </row>
    <row r="7" spans="1:17">
      <c r="A7" t="s">
        <v>71</v>
      </c>
      <c r="M7">
        <v>900</v>
      </c>
      <c r="N7">
        <v>900</v>
      </c>
    </row>
    <row r="8" spans="1:17">
      <c r="A8" t="s">
        <v>72</v>
      </c>
      <c r="N8">
        <v>3363.8839999999996</v>
      </c>
    </row>
    <row r="9" spans="1:17">
      <c r="A9" t="s">
        <v>73</v>
      </c>
      <c r="N9">
        <v>3327.8088617794429</v>
      </c>
    </row>
    <row r="10" spans="1:17">
      <c r="A10" t="s">
        <v>74</v>
      </c>
      <c r="N10">
        <v>36.07513822055671</v>
      </c>
    </row>
    <row r="11" spans="1:17">
      <c r="A11" t="s">
        <v>75</v>
      </c>
      <c r="N11">
        <v>360.7513822055671</v>
      </c>
    </row>
    <row r="12" spans="1:17">
      <c r="A12" t="s">
        <v>76</v>
      </c>
      <c r="N12">
        <v>1.0724251555807725E-2</v>
      </c>
    </row>
    <row r="13" spans="1:17">
      <c r="A13" t="s">
        <v>77</v>
      </c>
      <c r="M13">
        <v>12.736509018769482</v>
      </c>
      <c r="N13">
        <v>12.636170735166834</v>
      </c>
    </row>
    <row r="14" spans="1:17">
      <c r="A14" t="s">
        <v>78</v>
      </c>
      <c r="M14">
        <v>27.086608165645409</v>
      </c>
      <c r="N14">
        <v>26.914495305897407</v>
      </c>
    </row>
    <row r="15" spans="1:17">
      <c r="A15" t="s">
        <v>23</v>
      </c>
      <c r="M15">
        <v>0.61999999999999988</v>
      </c>
      <c r="N15">
        <v>0.61999999999999977</v>
      </c>
    </row>
    <row r="16" spans="1:17">
      <c r="A16" t="s">
        <v>79</v>
      </c>
      <c r="M16">
        <v>4.5620851196964622</v>
      </c>
      <c r="N16">
        <v>4.3597946390720441</v>
      </c>
    </row>
    <row r="17" spans="1:14">
      <c r="A17" t="s">
        <v>25</v>
      </c>
      <c r="M17">
        <v>0.16842585427446258</v>
      </c>
      <c r="N17">
        <v>0.16198686208010526</v>
      </c>
    </row>
    <row r="18" spans="1:14">
      <c r="A18" t="s">
        <v>80</v>
      </c>
      <c r="M18">
        <v>0.62</v>
      </c>
      <c r="N18">
        <v>0.62</v>
      </c>
    </row>
    <row r="19" spans="1:14">
      <c r="A19" t="s">
        <v>81</v>
      </c>
      <c r="M19">
        <v>0.63500000000000001</v>
      </c>
      <c r="N19">
        <v>0.63500000000000001</v>
      </c>
    </row>
    <row r="20" spans="1:14">
      <c r="A20" t="s">
        <v>82</v>
      </c>
      <c r="M20">
        <v>10000</v>
      </c>
      <c r="N20">
        <v>10000</v>
      </c>
    </row>
    <row r="22" spans="1:14">
      <c r="A22" t="s">
        <v>43</v>
      </c>
    </row>
    <row r="25" spans="1:14">
      <c r="A25" t="s">
        <v>83</v>
      </c>
      <c r="M25">
        <v>3000</v>
      </c>
      <c r="N25">
        <v>3000</v>
      </c>
    </row>
    <row r="26" spans="1:14">
      <c r="A26" t="s">
        <v>84</v>
      </c>
      <c r="M26">
        <v>350</v>
      </c>
      <c r="N26">
        <v>350</v>
      </c>
    </row>
    <row r="27" spans="1:14">
      <c r="A27" t="s">
        <v>85</v>
      </c>
      <c r="M27">
        <v>1750</v>
      </c>
      <c r="N27">
        <v>1750</v>
      </c>
    </row>
    <row r="28" spans="1:14">
      <c r="A28" t="s">
        <v>86</v>
      </c>
      <c r="M28">
        <v>700</v>
      </c>
      <c r="N28">
        <v>700</v>
      </c>
    </row>
    <row r="29" spans="1:14">
      <c r="A29" t="s">
        <v>87</v>
      </c>
      <c r="M29">
        <v>1400</v>
      </c>
      <c r="N29">
        <v>1400</v>
      </c>
    </row>
    <row r="30" spans="1:14">
      <c r="A30" t="s">
        <v>88</v>
      </c>
      <c r="M30">
        <v>2200</v>
      </c>
      <c r="N30">
        <v>2200</v>
      </c>
    </row>
    <row r="31" spans="1:14">
      <c r="A31" t="s">
        <v>192</v>
      </c>
      <c r="M31">
        <v>180</v>
      </c>
      <c r="N31">
        <v>180</v>
      </c>
    </row>
    <row r="32" spans="1:14">
      <c r="A32" t="s">
        <v>193</v>
      </c>
      <c r="M32">
        <v>30</v>
      </c>
      <c r="N32">
        <v>30</v>
      </c>
    </row>
    <row r="33" spans="1:14">
      <c r="A33" t="s">
        <v>194</v>
      </c>
      <c r="M33">
        <v>0.2</v>
      </c>
      <c r="N33">
        <v>0.2</v>
      </c>
    </row>
    <row r="34" spans="1:14">
      <c r="A34" t="s">
        <v>195</v>
      </c>
      <c r="M34">
        <v>4</v>
      </c>
      <c r="N34">
        <v>4</v>
      </c>
    </row>
    <row r="35" spans="1:14">
      <c r="A35" t="s">
        <v>196</v>
      </c>
      <c r="M35">
        <v>4</v>
      </c>
      <c r="N35">
        <v>4</v>
      </c>
    </row>
    <row r="36" spans="1:14">
      <c r="A36" t="s">
        <v>197</v>
      </c>
      <c r="M36">
        <v>381.8</v>
      </c>
      <c r="N36">
        <v>381.8</v>
      </c>
    </row>
    <row r="38" spans="1:14">
      <c r="A38" t="s">
        <v>89</v>
      </c>
      <c r="M38">
        <v>2400</v>
      </c>
      <c r="N38">
        <v>0</v>
      </c>
    </row>
    <row r="39" spans="1:14">
      <c r="A39" t="s">
        <v>90</v>
      </c>
      <c r="M39">
        <v>434.66015027637968</v>
      </c>
      <c r="N39">
        <v>817.91184118540195</v>
      </c>
    </row>
    <row r="40" spans="1:14">
      <c r="A40" t="s">
        <v>91</v>
      </c>
      <c r="M40">
        <v>2250.060229028204</v>
      </c>
      <c r="N40">
        <v>4323.8146518005206</v>
      </c>
    </row>
    <row r="41" spans="1:14">
      <c r="A41" t="s">
        <v>92</v>
      </c>
      <c r="M41">
        <v>700</v>
      </c>
      <c r="N41">
        <v>768.37733856048885</v>
      </c>
    </row>
    <row r="42" spans="1:14">
      <c r="A42" t="s">
        <v>93</v>
      </c>
      <c r="M42">
        <v>1400.0000000000002</v>
      </c>
      <c r="N42">
        <v>1278.3687192680982</v>
      </c>
    </row>
    <row r="43" spans="1:14">
      <c r="A43" t="s">
        <v>94</v>
      </c>
      <c r="M43">
        <v>2215.2796206954167</v>
      </c>
      <c r="N43">
        <v>2211.5274491854898</v>
      </c>
    </row>
    <row r="44" spans="1:14">
      <c r="A44" t="s">
        <v>198</v>
      </c>
      <c r="M44">
        <v>180</v>
      </c>
      <c r="N44">
        <v>180</v>
      </c>
    </row>
    <row r="45" spans="1:14">
      <c r="A45" t="s">
        <v>199</v>
      </c>
      <c r="M45">
        <v>30</v>
      </c>
      <c r="N45">
        <v>30</v>
      </c>
    </row>
    <row r="46" spans="1:14">
      <c r="A46" t="s">
        <v>200</v>
      </c>
      <c r="M46">
        <v>0.2</v>
      </c>
      <c r="N46">
        <v>0.2</v>
      </c>
    </row>
    <row r="47" spans="1:14">
      <c r="A47" t="s">
        <v>201</v>
      </c>
      <c r="M47">
        <v>4</v>
      </c>
      <c r="N47">
        <v>4</v>
      </c>
    </row>
    <row r="48" spans="1:14">
      <c r="A48" t="s">
        <v>202</v>
      </c>
      <c r="M48">
        <v>4</v>
      </c>
      <c r="N48">
        <v>4</v>
      </c>
    </row>
    <row r="49" spans="1:14">
      <c r="A49" t="s">
        <v>203</v>
      </c>
      <c r="M49">
        <v>381.8</v>
      </c>
      <c r="N49">
        <v>381.8</v>
      </c>
    </row>
    <row r="51" spans="1:14">
      <c r="A51" t="s">
        <v>95</v>
      </c>
      <c r="M51">
        <v>-600</v>
      </c>
      <c r="N51">
        <v>-3000</v>
      </c>
    </row>
    <row r="52" spans="1:14">
      <c r="A52" t="s">
        <v>96</v>
      </c>
      <c r="M52">
        <v>84.66</v>
      </c>
      <c r="N52">
        <v>467.91199999999998</v>
      </c>
    </row>
    <row r="53" spans="1:14">
      <c r="A53" t="s">
        <v>97</v>
      </c>
      <c r="M53">
        <v>500.06</v>
      </c>
      <c r="N53">
        <v>2573.8150000000001</v>
      </c>
    </row>
    <row r="54" spans="1:14">
      <c r="A54" t="s">
        <v>98</v>
      </c>
      <c r="M54">
        <v>0</v>
      </c>
      <c r="N54">
        <v>68.376999999999995</v>
      </c>
    </row>
    <row r="55" spans="1:14">
      <c r="A55" t="s">
        <v>99</v>
      </c>
      <c r="M55">
        <v>0</v>
      </c>
      <c r="N55">
        <v>-121.631</v>
      </c>
    </row>
    <row r="56" spans="1:14">
      <c r="A56" t="s">
        <v>100</v>
      </c>
      <c r="M56">
        <v>15.28</v>
      </c>
      <c r="N56">
        <v>11.526999999999999</v>
      </c>
    </row>
    <row r="57" spans="1:14">
      <c r="A57" t="s">
        <v>204</v>
      </c>
      <c r="M57">
        <v>0</v>
      </c>
      <c r="N57">
        <v>0</v>
      </c>
    </row>
    <row r="58" spans="1:14">
      <c r="A58" t="s">
        <v>205</v>
      </c>
      <c r="M58">
        <v>0</v>
      </c>
      <c r="N58">
        <v>0</v>
      </c>
    </row>
    <row r="59" spans="1:14">
      <c r="A59" t="s">
        <v>206</v>
      </c>
      <c r="M59">
        <v>0</v>
      </c>
      <c r="N59">
        <v>0</v>
      </c>
    </row>
    <row r="60" spans="1:14">
      <c r="A60" t="s">
        <v>207</v>
      </c>
      <c r="M60">
        <v>0</v>
      </c>
      <c r="N60">
        <v>0</v>
      </c>
    </row>
    <row r="61" spans="1:14">
      <c r="A61" t="s">
        <v>208</v>
      </c>
      <c r="M61">
        <v>0</v>
      </c>
      <c r="N61">
        <v>0</v>
      </c>
    </row>
    <row r="62" spans="1:14">
      <c r="A62" t="s">
        <v>209</v>
      </c>
      <c r="M62">
        <v>0</v>
      </c>
      <c r="N62">
        <v>0</v>
      </c>
    </row>
    <row r="64" spans="1:14">
      <c r="A64" t="s">
        <v>101</v>
      </c>
      <c r="N64">
        <v>3.2</v>
      </c>
    </row>
    <row r="65" spans="1:14">
      <c r="A65" t="s">
        <v>102</v>
      </c>
      <c r="N65">
        <v>11.5</v>
      </c>
    </row>
    <row r="66" spans="1:14">
      <c r="A66" t="s">
        <v>103</v>
      </c>
      <c r="N66">
        <v>1.6</v>
      </c>
    </row>
    <row r="67" spans="1:14">
      <c r="A67" t="s">
        <v>104</v>
      </c>
      <c r="N67">
        <v>3.8</v>
      </c>
    </row>
    <row r="68" spans="1:14">
      <c r="A68" t="s">
        <v>105</v>
      </c>
      <c r="N68">
        <v>4.5</v>
      </c>
    </row>
    <row r="69" spans="1:14">
      <c r="A69" t="s">
        <v>106</v>
      </c>
      <c r="N69">
        <v>2.4</v>
      </c>
    </row>
    <row r="70" spans="1:14">
      <c r="A70" t="s">
        <v>210</v>
      </c>
      <c r="N70">
        <v>8</v>
      </c>
    </row>
    <row r="71" spans="1:14">
      <c r="A71" t="s">
        <v>211</v>
      </c>
      <c r="N71">
        <v>15</v>
      </c>
    </row>
    <row r="72" spans="1:14">
      <c r="A72" t="s">
        <v>212</v>
      </c>
      <c r="N72">
        <v>20</v>
      </c>
    </row>
    <row r="73" spans="1:14">
      <c r="A73" t="s">
        <v>213</v>
      </c>
      <c r="N73">
        <v>1.2</v>
      </c>
    </row>
    <row r="74" spans="1:14">
      <c r="A74" t="s">
        <v>214</v>
      </c>
      <c r="N74">
        <v>1.5</v>
      </c>
    </row>
    <row r="75" spans="1:14">
      <c r="A75" t="s">
        <v>215</v>
      </c>
      <c r="N75">
        <v>2.8</v>
      </c>
    </row>
    <row r="77" spans="1:14">
      <c r="A77" t="s">
        <v>107</v>
      </c>
      <c r="M77">
        <v>2400</v>
      </c>
      <c r="N77">
        <v>2400</v>
      </c>
    </row>
    <row r="78" spans="1:14">
      <c r="A78" t="s">
        <v>108</v>
      </c>
      <c r="M78">
        <v>900</v>
      </c>
      <c r="N78">
        <v>900</v>
      </c>
    </row>
    <row r="79" spans="1:14">
      <c r="A79" t="s">
        <v>109</v>
      </c>
    </row>
    <row r="80" spans="1:14">
      <c r="A80" t="s">
        <v>110</v>
      </c>
    </row>
    <row r="81" spans="1:14">
      <c r="A81" t="s">
        <v>111</v>
      </c>
    </row>
    <row r="82" spans="1:14">
      <c r="A82" t="s">
        <v>112</v>
      </c>
    </row>
    <row r="83" spans="1:14">
      <c r="A83" t="s">
        <v>216</v>
      </c>
    </row>
    <row r="84" spans="1:14">
      <c r="A84" t="s">
        <v>217</v>
      </c>
    </row>
    <row r="85" spans="1:14">
      <c r="A85" t="s">
        <v>218</v>
      </c>
    </row>
    <row r="86" spans="1:14">
      <c r="A86" t="s">
        <v>219</v>
      </c>
    </row>
    <row r="87" spans="1:14">
      <c r="A87" t="s">
        <v>220</v>
      </c>
    </row>
    <row r="88" spans="1:14">
      <c r="A88" t="s">
        <v>221</v>
      </c>
    </row>
    <row r="90" spans="1:14">
      <c r="A90" t="s">
        <v>113</v>
      </c>
      <c r="M90">
        <v>52.044161524532527</v>
      </c>
      <c r="N90">
        <v>52.044161524532527</v>
      </c>
    </row>
    <row r="91" spans="1:14">
      <c r="A91" t="s">
        <v>114</v>
      </c>
      <c r="M91">
        <v>2.211347312417518</v>
      </c>
      <c r="N91">
        <v>2.211347312417518</v>
      </c>
    </row>
    <row r="92" spans="1:14">
      <c r="A92" t="s">
        <v>115</v>
      </c>
      <c r="M92">
        <v>4.8367443260949452</v>
      </c>
      <c r="N92">
        <v>4.8367443260949452</v>
      </c>
    </row>
    <row r="93" spans="1:14">
      <c r="A93" t="s">
        <v>116</v>
      </c>
      <c r="M93">
        <v>7.9994264090719449</v>
      </c>
      <c r="N93">
        <v>7.9994264090719449</v>
      </c>
    </row>
    <row r="94" spans="1:14">
      <c r="A94" t="s">
        <v>117</v>
      </c>
      <c r="M94">
        <v>4.5319074988200532</v>
      </c>
      <c r="N94">
        <v>4.5319074988200532</v>
      </c>
    </row>
    <row r="95" spans="1:14">
      <c r="A95" t="s">
        <v>118</v>
      </c>
      <c r="M95">
        <v>22.354700666825376</v>
      </c>
      <c r="N95">
        <v>22.354700666825376</v>
      </c>
    </row>
    <row r="96" spans="1:14">
      <c r="A96" t="s">
        <v>119</v>
      </c>
      <c r="M96">
        <v>4.0217122622376431</v>
      </c>
      <c r="N96">
        <v>4.0217122622376431</v>
      </c>
    </row>
    <row r="97" spans="1:14">
      <c r="A97" t="s">
        <v>120</v>
      </c>
      <c r="M97">
        <v>12.83617073516689</v>
      </c>
      <c r="N97">
        <v>12.83617073516689</v>
      </c>
    </row>
    <row r="98" spans="1:14">
      <c r="A98" t="s">
        <v>121</v>
      </c>
      <c r="M98">
        <v>26.886608165645434</v>
      </c>
      <c r="N98">
        <v>26.886608165645434</v>
      </c>
    </row>
    <row r="99" spans="1:14">
      <c r="A99" t="s">
        <v>122</v>
      </c>
      <c r="M99">
        <v>54.25550883695005</v>
      </c>
      <c r="N99">
        <v>54.25550883695005</v>
      </c>
    </row>
    <row r="101" spans="1:14">
      <c r="A101" t="s">
        <v>123</v>
      </c>
      <c r="M101">
        <v>0.2</v>
      </c>
      <c r="N101">
        <v>0.2</v>
      </c>
    </row>
    <row r="102" spans="1:14">
      <c r="A102" t="s">
        <v>124</v>
      </c>
      <c r="M102">
        <v>0.2</v>
      </c>
      <c r="N102">
        <v>0.2</v>
      </c>
    </row>
    <row r="103" spans="1:14">
      <c r="A103" t="s">
        <v>125</v>
      </c>
      <c r="M103">
        <v>0.2</v>
      </c>
      <c r="N103">
        <v>0.2</v>
      </c>
    </row>
    <row r="104" spans="1:14">
      <c r="A104" t="s">
        <v>126</v>
      </c>
      <c r="M104">
        <v>0.2</v>
      </c>
      <c r="N104">
        <v>0.2</v>
      </c>
    </row>
    <row r="105" spans="1:14">
      <c r="A105" t="s">
        <v>127</v>
      </c>
      <c r="M105">
        <v>0.2</v>
      </c>
      <c r="N105">
        <v>0.2</v>
      </c>
    </row>
    <row r="106" spans="1:14">
      <c r="A106" t="s">
        <v>128</v>
      </c>
      <c r="M106">
        <v>0.2</v>
      </c>
      <c r="N106">
        <v>0.2</v>
      </c>
    </row>
    <row r="107" spans="1:14">
      <c r="A107" t="s">
        <v>129</v>
      </c>
      <c r="M107">
        <v>0.2</v>
      </c>
      <c r="N107">
        <v>0.2</v>
      </c>
    </row>
    <row r="108" spans="1:14">
      <c r="A108" t="s">
        <v>130</v>
      </c>
      <c r="M108">
        <v>0.2</v>
      </c>
      <c r="N108">
        <v>0.2</v>
      </c>
    </row>
    <row r="109" spans="1:14">
      <c r="A109" t="s">
        <v>131</v>
      </c>
      <c r="M109">
        <v>0.2</v>
      </c>
      <c r="N109">
        <v>0.2</v>
      </c>
    </row>
    <row r="110" spans="1:14">
      <c r="A110" t="s">
        <v>132</v>
      </c>
      <c r="M110">
        <v>0.2</v>
      </c>
      <c r="N110">
        <v>0.2</v>
      </c>
    </row>
    <row r="112" spans="1:14">
      <c r="A112" t="s">
        <v>133</v>
      </c>
      <c r="M112">
        <v>0</v>
      </c>
      <c r="N112">
        <v>0</v>
      </c>
    </row>
    <row r="113" spans="1:14">
      <c r="A113" t="s">
        <v>134</v>
      </c>
      <c r="M113">
        <v>0</v>
      </c>
      <c r="N113">
        <v>0</v>
      </c>
    </row>
    <row r="114" spans="1:14">
      <c r="A114" t="s">
        <v>135</v>
      </c>
      <c r="M114">
        <v>0</v>
      </c>
      <c r="N114">
        <v>0</v>
      </c>
    </row>
    <row r="115" spans="1:14">
      <c r="A115" t="s">
        <v>136</v>
      </c>
      <c r="M115">
        <v>35</v>
      </c>
      <c r="N115">
        <v>35</v>
      </c>
    </row>
    <row r="116" spans="1:14">
      <c r="A116" t="s">
        <v>137</v>
      </c>
      <c r="M116">
        <v>70</v>
      </c>
      <c r="N116">
        <v>70</v>
      </c>
    </row>
    <row r="117" spans="1:14">
      <c r="A117" t="s">
        <v>138</v>
      </c>
      <c r="M117">
        <v>187</v>
      </c>
      <c r="N117">
        <v>187</v>
      </c>
    </row>
    <row r="119" spans="1:14">
      <c r="A119" t="s">
        <v>139</v>
      </c>
      <c r="M119">
        <v>240</v>
      </c>
      <c r="N119">
        <v>240</v>
      </c>
    </row>
    <row r="120" spans="1:14">
      <c r="A120" t="s">
        <v>140</v>
      </c>
      <c r="M120">
        <v>90</v>
      </c>
      <c r="N120">
        <v>90</v>
      </c>
    </row>
    <row r="121" spans="1:14">
      <c r="A121" t="s">
        <v>141</v>
      </c>
      <c r="M121">
        <v>500</v>
      </c>
      <c r="N121">
        <v>500</v>
      </c>
    </row>
    <row r="122" spans="1:14">
      <c r="A122" t="s">
        <v>142</v>
      </c>
      <c r="M122">
        <v>105</v>
      </c>
      <c r="N122">
        <v>105</v>
      </c>
    </row>
    <row r="123" spans="1:14">
      <c r="A123" t="s">
        <v>143</v>
      </c>
      <c r="M123">
        <v>210</v>
      </c>
      <c r="N123">
        <v>210</v>
      </c>
    </row>
    <row r="124" spans="1:14">
      <c r="A124" t="s">
        <v>144</v>
      </c>
      <c r="M124">
        <v>253</v>
      </c>
      <c r="N124">
        <v>253</v>
      </c>
    </row>
    <row r="128" spans="1:14">
      <c r="A128" t="s">
        <v>145</v>
      </c>
      <c r="M128" t="s">
        <v>246</v>
      </c>
      <c r="N128" t="s">
        <v>249</v>
      </c>
    </row>
    <row r="134" spans="1:14">
      <c r="A134" t="s">
        <v>146</v>
      </c>
      <c r="M134">
        <v>51.949790184605902</v>
      </c>
      <c r="N134">
        <v>52.236006976764557</v>
      </c>
    </row>
    <row r="135" spans="1:14">
      <c r="A135" t="s">
        <v>147</v>
      </c>
      <c r="M135">
        <v>2.2127779295233538</v>
      </c>
      <c r="N135">
        <v>2.2195018601855216</v>
      </c>
    </row>
    <row r="136" spans="1:14">
      <c r="A136" t="s">
        <v>148</v>
      </c>
      <c r="M136">
        <v>4.8398734271324049</v>
      </c>
      <c r="N136">
        <v>4.8017448793633992</v>
      </c>
    </row>
    <row r="137" spans="1:14">
      <c r="A137" t="s">
        <v>149</v>
      </c>
      <c r="M137">
        <v>7.8966355916370787</v>
      </c>
      <c r="N137">
        <v>7.8344258558034339</v>
      </c>
    </row>
    <row r="138" spans="1:14">
      <c r="A138" t="s">
        <v>150</v>
      </c>
      <c r="M138">
        <v>4.5620851196964622</v>
      </c>
      <c r="N138">
        <v>4.3597946390720441</v>
      </c>
    </row>
    <row r="139" spans="1:14">
      <c r="A139" t="s">
        <v>151</v>
      </c>
      <c r="M139">
        <v>22.524523045948946</v>
      </c>
      <c r="N139">
        <v>22.554700666825365</v>
      </c>
    </row>
    <row r="140" spans="1:14">
      <c r="A140" t="s">
        <v>152</v>
      </c>
      <c r="M140">
        <v>4.0143147014558593</v>
      </c>
      <c r="N140">
        <v>3.9938251219856999</v>
      </c>
    </row>
    <row r="141" spans="1:14">
      <c r="A141" t="s">
        <v>153</v>
      </c>
      <c r="M141">
        <v>12.736509018769482</v>
      </c>
      <c r="N141">
        <v>12.636170735166834</v>
      </c>
    </row>
    <row r="142" spans="1:14">
      <c r="A142" t="s">
        <v>154</v>
      </c>
      <c r="M142">
        <v>27.086608165645409</v>
      </c>
      <c r="N142">
        <v>26.914495305897407</v>
      </c>
    </row>
    <row r="143" spans="1:14">
      <c r="A143" t="s">
        <v>155</v>
      </c>
      <c r="M143">
        <v>54.162568114129265</v>
      </c>
      <c r="N143">
        <v>54.455508836950081</v>
      </c>
    </row>
    <row r="145" spans="1:14">
      <c r="A145" t="s">
        <v>156</v>
      </c>
      <c r="M145">
        <v>0.15</v>
      </c>
      <c r="N145">
        <v>0.15</v>
      </c>
    </row>
    <row r="146" spans="1:14">
      <c r="A146" t="s">
        <v>157</v>
      </c>
      <c r="M146">
        <v>0.18</v>
      </c>
      <c r="N146">
        <v>0.18</v>
      </c>
    </row>
    <row r="147" spans="1:14">
      <c r="A147" t="s">
        <v>158</v>
      </c>
      <c r="M147" t="s">
        <v>245</v>
      </c>
      <c r="N147" t="s">
        <v>245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S44"/>
  <sheetViews>
    <sheetView workbookViewId="0"/>
  </sheetViews>
  <sheetFormatPr defaultRowHeight="14.25"/>
  <sheetData>
    <row r="2" spans="1:19">
      <c r="A2" t="s">
        <v>159</v>
      </c>
      <c r="B2">
        <f>SUMPRODUCT(B5:B16,F5:F16)</f>
        <v>3327.8088617794429</v>
      </c>
    </row>
    <row r="4" spans="1:19">
      <c r="A4" t="s">
        <v>6</v>
      </c>
      <c r="B4" t="s">
        <v>160</v>
      </c>
      <c r="C4" t="s">
        <v>161</v>
      </c>
      <c r="D4" t="s">
        <v>162</v>
      </c>
      <c r="E4" t="s">
        <v>163</v>
      </c>
      <c r="F4" t="s">
        <v>164</v>
      </c>
      <c r="G4" t="s">
        <v>165</v>
      </c>
      <c r="H4" t="s">
        <v>12</v>
      </c>
      <c r="I4" t="s">
        <v>166</v>
      </c>
      <c r="J4" t="s">
        <v>167</v>
      </c>
      <c r="K4" t="s">
        <v>168</v>
      </c>
      <c r="L4" t="s">
        <v>169</v>
      </c>
      <c r="M4" t="s">
        <v>170</v>
      </c>
      <c r="N4" t="s">
        <v>171</v>
      </c>
      <c r="O4" t="s">
        <v>172</v>
      </c>
      <c r="P4" t="s">
        <v>173</v>
      </c>
    </row>
    <row r="5" spans="1:19">
      <c r="A5" t="s">
        <v>10</v>
      </c>
      <c r="B5">
        <v>0</v>
      </c>
      <c r="C5">
        <v>300</v>
      </c>
      <c r="D5">
        <v>0</v>
      </c>
      <c r="E5">
        <v>240</v>
      </c>
      <c r="F5">
        <v>3.2</v>
      </c>
      <c r="G5">
        <v>0.97</v>
      </c>
      <c r="H5">
        <v>0.83</v>
      </c>
      <c r="I5">
        <v>0</v>
      </c>
      <c r="J5">
        <v>0</v>
      </c>
      <c r="K5">
        <v>0.13</v>
      </c>
      <c r="L5">
        <v>4.0000000000000001E-3</v>
      </c>
      <c r="M5">
        <v>0</v>
      </c>
      <c r="N5">
        <v>6.0000000000000001E-3</v>
      </c>
      <c r="O5">
        <v>0</v>
      </c>
      <c r="P5">
        <v>3.3333333333333335E-3</v>
      </c>
      <c r="Q5">
        <f t="shared" ref="Q5:Q10" si="0">B5-O5</f>
        <v>0</v>
      </c>
      <c r="R5">
        <f t="shared" ref="R5:R10" si="1">-B5-O5</f>
        <v>0</v>
      </c>
      <c r="S5">
        <v>-300</v>
      </c>
    </row>
    <row r="6" spans="1:19">
      <c r="A6" t="s">
        <v>11</v>
      </c>
      <c r="B6">
        <v>81.791184118540201</v>
      </c>
      <c r="C6">
        <v>35</v>
      </c>
      <c r="D6">
        <v>0</v>
      </c>
      <c r="E6">
        <v>90</v>
      </c>
      <c r="F6">
        <v>11.5</v>
      </c>
      <c r="G6">
        <v>0.95</v>
      </c>
      <c r="H6">
        <v>7.4999999999999997E-2</v>
      </c>
      <c r="I6">
        <v>0</v>
      </c>
      <c r="J6">
        <v>0</v>
      </c>
      <c r="K6">
        <v>0.79</v>
      </c>
      <c r="L6">
        <v>0.06</v>
      </c>
      <c r="M6">
        <v>0</v>
      </c>
      <c r="N6">
        <v>2.5000000000000001E-2</v>
      </c>
      <c r="O6">
        <v>0</v>
      </c>
      <c r="P6">
        <v>2.8571428571428571E-2</v>
      </c>
      <c r="Q6">
        <f t="shared" si="0"/>
        <v>81.791184118540201</v>
      </c>
      <c r="R6">
        <f t="shared" si="1"/>
        <v>-81.791184118540201</v>
      </c>
      <c r="S6">
        <v>-35</v>
      </c>
    </row>
    <row r="7" spans="1:19">
      <c r="A7" t="s">
        <v>12</v>
      </c>
      <c r="B7">
        <v>432.38146518005203</v>
      </c>
      <c r="C7">
        <v>175</v>
      </c>
      <c r="D7">
        <v>0</v>
      </c>
      <c r="E7">
        <v>500</v>
      </c>
      <c r="F7">
        <v>1.6</v>
      </c>
      <c r="G7">
        <v>0.96</v>
      </c>
      <c r="H7">
        <v>0.95799999999999996</v>
      </c>
      <c r="I7">
        <v>0</v>
      </c>
      <c r="J7">
        <v>0</v>
      </c>
      <c r="K7">
        <v>1E-3</v>
      </c>
      <c r="L7">
        <v>0</v>
      </c>
      <c r="M7">
        <v>0</v>
      </c>
      <c r="N7">
        <v>1E-3</v>
      </c>
      <c r="O7">
        <v>0</v>
      </c>
      <c r="P7">
        <v>5.7142857142857143E-3</v>
      </c>
      <c r="Q7">
        <f t="shared" si="0"/>
        <v>432.38146518005203</v>
      </c>
      <c r="R7">
        <f t="shared" si="1"/>
        <v>-432.38146518005203</v>
      </c>
      <c r="S7">
        <v>-175</v>
      </c>
    </row>
    <row r="8" spans="1:19">
      <c r="A8" t="s">
        <v>13</v>
      </c>
      <c r="B8">
        <v>76.837733856048885</v>
      </c>
      <c r="C8">
        <v>70</v>
      </c>
      <c r="D8">
        <v>35</v>
      </c>
      <c r="E8">
        <v>105</v>
      </c>
      <c r="F8">
        <v>3.8</v>
      </c>
      <c r="G8">
        <v>0.96</v>
      </c>
      <c r="H8">
        <v>0.5</v>
      </c>
      <c r="I8">
        <v>0</v>
      </c>
      <c r="J8">
        <v>0.28000000000000003</v>
      </c>
      <c r="K8">
        <v>7.0000000000000007E-2</v>
      </c>
      <c r="L8">
        <v>0.01</v>
      </c>
      <c r="M8">
        <v>0</v>
      </c>
      <c r="N8">
        <v>0.1</v>
      </c>
      <c r="O8">
        <v>0</v>
      </c>
      <c r="P8">
        <v>1.4285714285714285E-2</v>
      </c>
      <c r="Q8">
        <f t="shared" si="0"/>
        <v>76.837733856048885</v>
      </c>
      <c r="R8">
        <f t="shared" si="1"/>
        <v>-76.837733856048885</v>
      </c>
      <c r="S8">
        <v>-70</v>
      </c>
    </row>
    <row r="9" spans="1:19">
      <c r="A9" t="s">
        <v>14</v>
      </c>
      <c r="B9">
        <v>127.83687192680982</v>
      </c>
      <c r="C9">
        <v>140</v>
      </c>
      <c r="D9">
        <v>70</v>
      </c>
      <c r="E9">
        <v>210</v>
      </c>
      <c r="F9">
        <v>4.5</v>
      </c>
      <c r="G9">
        <v>0.97</v>
      </c>
      <c r="H9">
        <v>0.37</v>
      </c>
      <c r="I9">
        <v>0</v>
      </c>
      <c r="J9">
        <v>0.2</v>
      </c>
      <c r="K9">
        <v>0.05</v>
      </c>
      <c r="L9">
        <v>0.28999999999999998</v>
      </c>
      <c r="M9">
        <v>0</v>
      </c>
      <c r="N9">
        <v>0.06</v>
      </c>
      <c r="O9">
        <v>0</v>
      </c>
      <c r="P9">
        <v>7.1428571428571426E-3</v>
      </c>
      <c r="Q9">
        <f t="shared" si="0"/>
        <v>127.83687192680982</v>
      </c>
      <c r="R9">
        <f t="shared" si="1"/>
        <v>-127.83687192680982</v>
      </c>
      <c r="S9">
        <v>-140</v>
      </c>
    </row>
    <row r="10" spans="1:19">
      <c r="A10" t="s">
        <v>15</v>
      </c>
      <c r="B10">
        <v>221.15274491854896</v>
      </c>
      <c r="C10">
        <v>220</v>
      </c>
      <c r="D10">
        <v>187</v>
      </c>
      <c r="E10">
        <v>253</v>
      </c>
      <c r="F10">
        <v>2.4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4.5454545454545452E-3</v>
      </c>
      <c r="Q10">
        <f t="shared" si="0"/>
        <v>221.15274491854896</v>
      </c>
      <c r="R10">
        <f t="shared" si="1"/>
        <v>-221.15274491854896</v>
      </c>
      <c r="S10">
        <v>-220</v>
      </c>
    </row>
    <row r="11" spans="1:19">
      <c r="A11" t="s">
        <v>182</v>
      </c>
      <c r="B11">
        <v>18</v>
      </c>
      <c r="C11">
        <v>18</v>
      </c>
      <c r="D11">
        <v>18</v>
      </c>
      <c r="E11">
        <v>18</v>
      </c>
      <c r="F11">
        <v>8</v>
      </c>
      <c r="G11">
        <v>0.96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0.96</v>
      </c>
    </row>
    <row r="12" spans="1:19">
      <c r="A12" t="s">
        <v>183</v>
      </c>
      <c r="B12">
        <v>3</v>
      </c>
      <c r="C12">
        <v>3</v>
      </c>
      <c r="D12">
        <v>3</v>
      </c>
      <c r="E12">
        <v>3</v>
      </c>
      <c r="F12">
        <v>15</v>
      </c>
      <c r="G12">
        <v>0.96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0.96</v>
      </c>
    </row>
    <row r="13" spans="1:19">
      <c r="A13" t="s">
        <v>184</v>
      </c>
      <c r="B13">
        <v>0.02</v>
      </c>
      <c r="C13">
        <v>0.02</v>
      </c>
      <c r="D13">
        <v>0.02</v>
      </c>
      <c r="E13">
        <v>0.02</v>
      </c>
      <c r="F13">
        <v>20</v>
      </c>
      <c r="G13">
        <v>0.96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0.96</v>
      </c>
    </row>
    <row r="14" spans="1:19">
      <c r="A14" t="s">
        <v>185</v>
      </c>
      <c r="B14">
        <v>0.4</v>
      </c>
      <c r="C14">
        <v>0.4</v>
      </c>
      <c r="D14">
        <v>0.4</v>
      </c>
      <c r="E14">
        <v>0.4</v>
      </c>
      <c r="F14">
        <v>1.2</v>
      </c>
      <c r="G14">
        <v>0.96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0.96</v>
      </c>
    </row>
    <row r="15" spans="1:19">
      <c r="A15" t="s">
        <v>186</v>
      </c>
      <c r="B15">
        <v>0.4</v>
      </c>
      <c r="C15">
        <v>0.4</v>
      </c>
      <c r="D15">
        <v>0.4</v>
      </c>
      <c r="E15">
        <v>0.4</v>
      </c>
      <c r="F15">
        <v>1.5</v>
      </c>
      <c r="G15">
        <v>0.96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0.96</v>
      </c>
    </row>
    <row r="16" spans="1:19">
      <c r="A16" t="s">
        <v>187</v>
      </c>
      <c r="B16">
        <v>38.18</v>
      </c>
      <c r="C16">
        <v>38.18</v>
      </c>
      <c r="D16">
        <v>38.18</v>
      </c>
      <c r="E16">
        <v>38.18</v>
      </c>
      <c r="F16">
        <v>2.8</v>
      </c>
      <c r="G16">
        <v>0.74</v>
      </c>
      <c r="H16">
        <v>0.16</v>
      </c>
      <c r="I16">
        <v>0.56999999999999995</v>
      </c>
      <c r="J16">
        <v>0</v>
      </c>
      <c r="K16">
        <v>0</v>
      </c>
      <c r="L16">
        <v>0</v>
      </c>
      <c r="M16">
        <v>0</v>
      </c>
      <c r="N16">
        <v>0.01</v>
      </c>
    </row>
    <row r="19" spans="1:4">
      <c r="A19" t="s">
        <v>174</v>
      </c>
      <c r="B19">
        <f>SUMPRODUCT(B5:B16,G5:G16)</f>
        <v>960.90696667482439</v>
      </c>
    </row>
    <row r="20" spans="1:4">
      <c r="A20" t="s">
        <v>175</v>
      </c>
      <c r="B20">
        <f>SUM(B5:B16)</f>
        <v>999.99999999999977</v>
      </c>
      <c r="C20">
        <f>SUM(C5:C16)</f>
        <v>999.99999999999989</v>
      </c>
      <c r="D20">
        <f>C20</f>
        <v>999.99999999999989</v>
      </c>
    </row>
    <row r="21" spans="1:4">
      <c r="A21" t="s">
        <v>12</v>
      </c>
      <c r="B21">
        <f>SUMPRODUCT(B5:B16,H5:H16)</f>
        <v>512.18309199232442</v>
      </c>
      <c r="C21">
        <f>('Formulation Rules'!B5-'Formulation Rules'!C5)*B19/98</f>
        <v>508.34097949324683</v>
      </c>
      <c r="D21">
        <f>('Formulation Rules'!B5+'Formulation Rules'!C5)*B19/98</f>
        <v>512.26304874498078</v>
      </c>
    </row>
    <row r="22" spans="1:4">
      <c r="A22" t="s">
        <v>176</v>
      </c>
      <c r="B22">
        <f>SUMPRODUCT(B5:B16,I5:I16)</f>
        <v>21.762599999999999</v>
      </c>
      <c r="C22">
        <f>('Formulation Rules'!B6-'Formulation Rules'!C6)*B19/98</f>
        <v>19.7216086214763</v>
      </c>
      <c r="D22">
        <f>('Formulation Rules'!B6+'Formulation Rules'!C6)*B19/98</f>
        <v>23.643677873210283</v>
      </c>
    </row>
    <row r="23" spans="1:4">
      <c r="A23" t="s">
        <v>167</v>
      </c>
      <c r="B23">
        <f>SUMPRODUCT(B5:B16,J5:J16)</f>
        <v>47.081939865055659</v>
      </c>
      <c r="C23">
        <f>('Formulation Rules'!B7-'Formulation Rules'!C7)*B19/98</f>
        <v>45.464080873822418</v>
      </c>
      <c r="D23">
        <f>('Formulation Rules'!B7+'Formulation Rules'!C7)*B19/98</f>
        <v>49.386150125556398</v>
      </c>
    </row>
    <row r="24" spans="1:4">
      <c r="A24" t="s">
        <v>168</v>
      </c>
      <c r="B24">
        <f>SUMPRODUCT(B5:B16,K5:K16)</f>
        <v>76.817901885090748</v>
      </c>
      <c r="C24">
        <f>('Formulation Rules'!B8-'Formulation Rules'!C8)*B19/98</f>
        <v>76.47472625045755</v>
      </c>
      <c r="D24">
        <f>('Formulation Rules'!B8+'Formulation Rules'!C8)*B19/98</f>
        <v>80.396795502191537</v>
      </c>
    </row>
    <row r="25" spans="1:4">
      <c r="A25" t="s">
        <v>169</v>
      </c>
      <c r="B25">
        <f>SUMPRODUCT(B5:B16,L5:L16)</f>
        <v>42.748541244447743</v>
      </c>
      <c r="C25">
        <f>('Formulation Rules'!B9-'Formulation Rules'!C9)*B19/98</f>
        <v>42.475103006194928</v>
      </c>
      <c r="D25">
        <f>('Formulation Rules'!B9+'Formulation Rules'!C9)*B19/98</f>
        <v>46.397172257928901</v>
      </c>
    </row>
    <row r="26" spans="1:4">
      <c r="A26" t="s">
        <v>177</v>
      </c>
      <c r="B26">
        <f>SUMPRODUCT(B5:B16,M5:M16)</f>
        <v>221.15274491854896</v>
      </c>
      <c r="C26">
        <f>('Formulation Rules'!B10-'Formulation Rules'!C10)*B19/98</f>
        <v>217.23067566681513</v>
      </c>
      <c r="D26">
        <f>('Formulation Rules'!B10+'Formulation Rules'!C10)*B19/98</f>
        <v>221.15274491854908</v>
      </c>
    </row>
    <row r="27" spans="1:4">
      <c r="A27" t="s">
        <v>171</v>
      </c>
      <c r="B27">
        <f>SUMPRODUCT(B5:B16,N5:N16)</f>
        <v>39.160146769357034</v>
      </c>
      <c r="C27">
        <f>('Formulation Rules'!B11-'Formulation Rules'!C11)*B19/98</f>
        <v>37.472550381742394</v>
      </c>
      <c r="D27">
        <f>('Formulation Rules'!B11+'Formulation Rules'!C11)*B19/98</f>
        <v>41.394619633476374</v>
      </c>
    </row>
    <row r="28" spans="1:4">
      <c r="A28" t="s">
        <v>178</v>
      </c>
      <c r="B28">
        <f>B23+B24</f>
        <v>123.89984175014641</v>
      </c>
      <c r="C28">
        <f>('Formulation Rules'!B12-'Formulation Rules'!C12)*B19/98</f>
        <v>123.89984175014696</v>
      </c>
      <c r="D28">
        <f>('Formulation Rules'!B12+'Formulation Rules'!C12)*B19/98</f>
        <v>127.82191100188093</v>
      </c>
    </row>
    <row r="29" spans="1:4">
      <c r="A29" t="s">
        <v>179</v>
      </c>
      <c r="B29">
        <f>B25+B26</f>
        <v>263.90128616299671</v>
      </c>
      <c r="C29">
        <f>('Formulation Rules'!B13-'Formulation Rules'!C13)*B19/98</f>
        <v>261.66681329887706</v>
      </c>
      <c r="D29">
        <f>('Formulation Rules'!B13+'Formulation Rules'!C13)*B19/98</f>
        <v>265.58888255061106</v>
      </c>
    </row>
    <row r="30" spans="1:4">
      <c r="A30" t="s">
        <v>180</v>
      </c>
      <c r="B30">
        <f>B21+B22</f>
        <v>533.94569199232444</v>
      </c>
      <c r="C30">
        <f>('Formulation Rules'!B14-'Formulation Rules'!C14)*B19/98</f>
        <v>530.0236227405901</v>
      </c>
      <c r="D30">
        <f>('Formulation Rules'!B14+'Formulation Rules'!C14)*B19/98</f>
        <v>533.94569199232421</v>
      </c>
    </row>
    <row r="31" spans="1:4">
      <c r="B31">
        <f>B24-'Formulation Rules'!B19*B28</f>
        <v>0</v>
      </c>
    </row>
    <row r="32" spans="1:4">
      <c r="B32">
        <f>B24-0.635*B28</f>
        <v>-1.8584976262522162</v>
      </c>
    </row>
    <row r="33" spans="2:2">
      <c r="B33">
        <f>B25-0.15*B29</f>
        <v>3.1633483199982351</v>
      </c>
    </row>
    <row r="34" spans="2:2">
      <c r="B34">
        <f>B25-0.18*B29</f>
        <v>-4.7536902648916666</v>
      </c>
    </row>
    <row r="40" spans="2:2">
      <c r="B40">
        <f>B28/B19*98</f>
        <v>12.636170735166834</v>
      </c>
    </row>
    <row r="41" spans="2:2">
      <c r="B41">
        <f>B29/B19*98</f>
        <v>26.914495305897407</v>
      </c>
    </row>
    <row r="42" spans="2:2">
      <c r="B42">
        <f>B24/B28</f>
        <v>0.61999999999999977</v>
      </c>
    </row>
    <row r="43" spans="2:2">
      <c r="B43">
        <f>B25/B19*98</f>
        <v>4.3597946390720441</v>
      </c>
    </row>
    <row r="44" spans="2:2">
      <c r="B44">
        <f>B25/B29</f>
        <v>0.16198686208010526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40"/>
  <sheetViews>
    <sheetView showGridLines="0" workbookViewId="0"/>
  </sheetViews>
  <sheetFormatPr defaultRowHeight="14.25"/>
  <cols>
    <col min="1" max="1" width="31" customWidth="1"/>
    <col min="2" max="4" width="20" customWidth="1"/>
    <col min="5" max="5" width="12" customWidth="1"/>
  </cols>
  <sheetData>
    <row r="1" spans="1:5">
      <c r="A1" s="3"/>
      <c r="B1" s="3"/>
      <c r="C1" s="3"/>
      <c r="D1" s="3"/>
      <c r="E1" s="3"/>
    </row>
    <row r="2" spans="1:5">
      <c r="A2" s="3" t="s">
        <v>222</v>
      </c>
      <c r="B2" s="3"/>
      <c r="C2" s="3"/>
      <c r="D2" s="3"/>
      <c r="E2" s="3"/>
    </row>
    <row r="3" spans="1:5">
      <c r="A3" s="3"/>
      <c r="B3" s="3"/>
      <c r="C3" s="3"/>
      <c r="D3" s="3"/>
      <c r="E3" s="3"/>
    </row>
    <row r="4" spans="1:5">
      <c r="A4" s="3" t="s">
        <v>223</v>
      </c>
      <c r="B4" s="3" t="s">
        <v>224</v>
      </c>
      <c r="C4" s="3" t="s">
        <v>225</v>
      </c>
      <c r="D4" s="3" t="s">
        <v>226</v>
      </c>
      <c r="E4" s="3"/>
    </row>
    <row r="5" spans="1:5">
      <c r="A5" s="3" t="s">
        <v>12</v>
      </c>
      <c r="B5" s="3">
        <v>52.044161524532527</v>
      </c>
      <c r="C5" s="3">
        <v>0.2</v>
      </c>
      <c r="D5" s="3" t="s">
        <v>227</v>
      </c>
      <c r="E5" s="3"/>
    </row>
    <row r="6" spans="1:5">
      <c r="A6" s="3" t="s">
        <v>176</v>
      </c>
      <c r="B6" s="3">
        <v>2.211347312417518</v>
      </c>
      <c r="C6" s="3">
        <v>0.2</v>
      </c>
      <c r="D6" s="3" t="s">
        <v>227</v>
      </c>
      <c r="E6" s="3"/>
    </row>
    <row r="7" spans="1:5">
      <c r="A7" s="3" t="s">
        <v>167</v>
      </c>
      <c r="B7" s="3">
        <v>4.8367443260949452</v>
      </c>
      <c r="C7" s="3">
        <v>0.2</v>
      </c>
      <c r="D7" s="3" t="s">
        <v>227</v>
      </c>
      <c r="E7" s="3"/>
    </row>
    <row r="8" spans="1:5">
      <c r="A8" s="3" t="s">
        <v>168</v>
      </c>
      <c r="B8" s="3">
        <v>7.9994264090719449</v>
      </c>
      <c r="C8" s="3">
        <v>0.2</v>
      </c>
      <c r="D8" s="3" t="s">
        <v>227</v>
      </c>
      <c r="E8" s="3"/>
    </row>
    <row r="9" spans="1:5">
      <c r="A9" s="3" t="s">
        <v>169</v>
      </c>
      <c r="B9" s="3">
        <v>4.5319074988200532</v>
      </c>
      <c r="C9" s="3">
        <v>0.2</v>
      </c>
      <c r="D9" s="3" t="s">
        <v>227</v>
      </c>
      <c r="E9" s="3"/>
    </row>
    <row r="10" spans="1:5">
      <c r="A10" s="3" t="s">
        <v>177</v>
      </c>
      <c r="B10" s="3">
        <v>22.354700666825376</v>
      </c>
      <c r="C10" s="3">
        <v>0.2</v>
      </c>
      <c r="D10" s="3" t="s">
        <v>227</v>
      </c>
      <c r="E10" s="3"/>
    </row>
    <row r="11" spans="1:5">
      <c r="A11" s="3" t="s">
        <v>171</v>
      </c>
      <c r="B11" s="3">
        <v>4.0217122622376431</v>
      </c>
      <c r="C11" s="3">
        <v>0.2</v>
      </c>
      <c r="D11" s="3" t="s">
        <v>227</v>
      </c>
      <c r="E11" s="3"/>
    </row>
    <row r="12" spans="1:5">
      <c r="A12" s="3" t="s">
        <v>178</v>
      </c>
      <c r="B12" s="3">
        <v>12.83617073516689</v>
      </c>
      <c r="C12" s="3">
        <v>0.2</v>
      </c>
      <c r="D12" s="3" t="s">
        <v>227</v>
      </c>
      <c r="E12" s="3"/>
    </row>
    <row r="13" spans="1:5">
      <c r="A13" s="3" t="s">
        <v>179</v>
      </c>
      <c r="B13" s="3">
        <v>26.886608165645434</v>
      </c>
      <c r="C13" s="3">
        <v>0.2</v>
      </c>
      <c r="D13" s="3" t="s">
        <v>227</v>
      </c>
      <c r="E13" s="3"/>
    </row>
    <row r="14" spans="1:5">
      <c r="A14" s="3" t="s">
        <v>180</v>
      </c>
      <c r="B14" s="3">
        <v>54.25550883695005</v>
      </c>
      <c r="C14" s="3">
        <v>0.2</v>
      </c>
      <c r="D14" s="3" t="s">
        <v>227</v>
      </c>
      <c r="E14" s="3"/>
    </row>
    <row r="15" spans="1:5">
      <c r="A15" s="3"/>
      <c r="B15" s="3"/>
      <c r="C15" s="3"/>
      <c r="D15" s="3"/>
      <c r="E15" s="3"/>
    </row>
    <row r="16" spans="1:5">
      <c r="A16" s="3" t="s">
        <v>23</v>
      </c>
      <c r="B16" s="3">
        <v>0.62319414209380564</v>
      </c>
      <c r="C16" s="3">
        <v>7.0000000000000001E-3</v>
      </c>
      <c r="D16" s="3" t="s">
        <v>228</v>
      </c>
      <c r="E16" s="3"/>
    </row>
    <row r="17" spans="1:5">
      <c r="A17" s="3" t="s">
        <v>25</v>
      </c>
      <c r="B17" s="3">
        <v>0.16855631141345423</v>
      </c>
      <c r="C17" s="3">
        <v>1.4999999999999999E-2</v>
      </c>
      <c r="D17" s="3" t="s">
        <v>228</v>
      </c>
      <c r="E17" s="3"/>
    </row>
    <row r="18" spans="1:5">
      <c r="A18" s="3" t="s">
        <v>229</v>
      </c>
      <c r="B18" s="3">
        <v>0.02</v>
      </c>
      <c r="C18" s="3">
        <v>0</v>
      </c>
      <c r="D18" s="3" t="s">
        <v>230</v>
      </c>
      <c r="E18" s="3"/>
    </row>
    <row r="19" spans="1:5">
      <c r="A19" s="3" t="s">
        <v>80</v>
      </c>
      <c r="B19" s="35">
        <v>0.62</v>
      </c>
      <c r="C19" s="3">
        <v>0</v>
      </c>
      <c r="D19" s="3" t="s">
        <v>231</v>
      </c>
      <c r="E19" s="3"/>
    </row>
    <row r="20" spans="1:5">
      <c r="A20" s="3"/>
      <c r="B20" s="3"/>
      <c r="C20" s="3"/>
      <c r="D20" s="3"/>
      <c r="E20" s="3"/>
    </row>
    <row r="21" spans="1:5">
      <c r="A21" s="3" t="s">
        <v>6</v>
      </c>
      <c r="B21" s="3" t="s">
        <v>161</v>
      </c>
      <c r="C21" s="3" t="s">
        <v>232</v>
      </c>
      <c r="D21" s="3" t="s">
        <v>233</v>
      </c>
      <c r="E21" s="3" t="s">
        <v>234</v>
      </c>
    </row>
    <row r="22" spans="1:5">
      <c r="A22" s="3" t="s">
        <v>10</v>
      </c>
      <c r="B22" s="3">
        <v>300</v>
      </c>
      <c r="C22" s="3">
        <v>0</v>
      </c>
      <c r="D22" s="4">
        <v>1000</v>
      </c>
      <c r="E22" s="3" t="s">
        <v>235</v>
      </c>
    </row>
    <row r="23" spans="1:5">
      <c r="A23" s="3" t="s">
        <v>11</v>
      </c>
      <c r="B23" s="3">
        <v>35</v>
      </c>
      <c r="C23" s="3">
        <v>0</v>
      </c>
      <c r="D23" s="3">
        <v>150</v>
      </c>
      <c r="E23" s="3" t="s">
        <v>235</v>
      </c>
    </row>
    <row r="24" spans="1:5">
      <c r="A24" s="3" t="s">
        <v>12</v>
      </c>
      <c r="B24" s="3">
        <v>175</v>
      </c>
      <c r="C24" s="3">
        <v>0</v>
      </c>
      <c r="D24" s="3">
        <v>500</v>
      </c>
      <c r="E24" s="3" t="s">
        <v>235</v>
      </c>
    </row>
    <row r="25" spans="1:5">
      <c r="A25" s="3" t="s">
        <v>13</v>
      </c>
      <c r="B25" s="3">
        <v>70</v>
      </c>
      <c r="C25" s="3">
        <v>35</v>
      </c>
      <c r="D25" s="3">
        <v>105</v>
      </c>
      <c r="E25" s="3" t="s">
        <v>235</v>
      </c>
    </row>
    <row r="26" spans="1:5">
      <c r="A26" s="3" t="s">
        <v>14</v>
      </c>
      <c r="B26" s="3">
        <v>140</v>
      </c>
      <c r="C26" s="3">
        <v>70</v>
      </c>
      <c r="D26" s="3">
        <v>210</v>
      </c>
      <c r="E26" s="3" t="s">
        <v>235</v>
      </c>
    </row>
    <row r="27" spans="1:5">
      <c r="A27" s="3" t="s">
        <v>15</v>
      </c>
      <c r="B27" s="3">
        <v>220</v>
      </c>
      <c r="C27" s="3">
        <v>187</v>
      </c>
      <c r="D27" s="3">
        <v>253</v>
      </c>
      <c r="E27" s="3" t="s">
        <v>235</v>
      </c>
    </row>
    <row r="28" spans="1:5">
      <c r="A28" s="3" t="s">
        <v>182</v>
      </c>
      <c r="B28" s="3">
        <v>18</v>
      </c>
      <c r="C28" s="3">
        <v>18</v>
      </c>
      <c r="D28" s="3">
        <v>18</v>
      </c>
      <c r="E28" s="3" t="s">
        <v>236</v>
      </c>
    </row>
    <row r="29" spans="1:5">
      <c r="A29" s="3" t="s">
        <v>183</v>
      </c>
      <c r="B29" s="3">
        <v>3</v>
      </c>
      <c r="C29" s="3">
        <v>3</v>
      </c>
      <c r="D29" s="3">
        <v>3</v>
      </c>
      <c r="E29" s="3" t="s">
        <v>236</v>
      </c>
    </row>
    <row r="30" spans="1:5">
      <c r="A30" s="3" t="s">
        <v>184</v>
      </c>
      <c r="B30" s="3">
        <v>0.02</v>
      </c>
      <c r="C30" s="3">
        <v>0.02</v>
      </c>
      <c r="D30" s="3">
        <v>0.02</v>
      </c>
      <c r="E30" s="3" t="s">
        <v>236</v>
      </c>
    </row>
    <row r="31" spans="1:5">
      <c r="A31" s="3" t="s">
        <v>185</v>
      </c>
      <c r="B31" s="3">
        <v>0.4</v>
      </c>
      <c r="C31" s="3">
        <v>0.4</v>
      </c>
      <c r="D31" s="3">
        <v>0.4</v>
      </c>
      <c r="E31" s="3" t="s">
        <v>236</v>
      </c>
    </row>
    <row r="32" spans="1:5">
      <c r="A32" s="3" t="s">
        <v>186</v>
      </c>
      <c r="B32" s="3">
        <v>0.4</v>
      </c>
      <c r="C32" s="3">
        <v>0.4</v>
      </c>
      <c r="D32" s="3">
        <v>0.4</v>
      </c>
      <c r="E32" s="3" t="s">
        <v>236</v>
      </c>
    </row>
    <row r="33" spans="1:5">
      <c r="A33" s="3" t="s">
        <v>187</v>
      </c>
      <c r="B33" s="3">
        <v>38.18</v>
      </c>
      <c r="C33" s="3">
        <v>38.18</v>
      </c>
      <c r="D33" s="3">
        <v>38.18</v>
      </c>
      <c r="E33" s="3" t="s">
        <v>236</v>
      </c>
    </row>
    <row r="34" spans="1:5">
      <c r="A34" s="3"/>
      <c r="B34" s="3"/>
      <c r="C34" s="3"/>
      <c r="D34" s="3"/>
      <c r="E34" s="3"/>
    </row>
    <row r="35" spans="1:5">
      <c r="A35" s="3"/>
      <c r="B35" s="3"/>
      <c r="C35" s="3"/>
      <c r="D35" s="3"/>
      <c r="E35" s="3"/>
    </row>
    <row r="36" spans="1:5">
      <c r="A36" s="3" t="s">
        <v>237</v>
      </c>
      <c r="B36" s="3"/>
      <c r="C36" s="3"/>
      <c r="D36" s="3"/>
      <c r="E36" s="3"/>
    </row>
    <row r="37" spans="1:5">
      <c r="A37" s="3" t="s">
        <v>238</v>
      </c>
      <c r="B37" s="3"/>
      <c r="C37" s="3"/>
      <c r="D37" s="3"/>
      <c r="E37" s="3"/>
    </row>
    <row r="38" spans="1:5">
      <c r="A38" s="3" t="s">
        <v>239</v>
      </c>
      <c r="B38" s="3"/>
      <c r="C38" s="3"/>
      <c r="D38" s="3"/>
      <c r="E38" s="3"/>
    </row>
    <row r="39" spans="1:5">
      <c r="A39" s="3" t="s">
        <v>240</v>
      </c>
      <c r="B39" s="3"/>
      <c r="C39" s="3"/>
      <c r="D39" s="3"/>
      <c r="E39" s="3"/>
    </row>
    <row r="40" spans="1:5">
      <c r="A40" s="3" t="s">
        <v>241</v>
      </c>
      <c r="B40" s="3"/>
      <c r="C40" s="3"/>
      <c r="D40" s="3"/>
      <c r="E4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Supply Plan</vt:lpstr>
      <vt:lpstr>Cost Optimisation</vt:lpstr>
      <vt:lpstr>Scenario Comparison</vt:lpstr>
      <vt:lpstr>Other Stock</vt:lpstr>
      <vt:lpstr>Formulation Rules</vt:lpstr>
      <vt:lpstr>ScenarioLabels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Charlie Qi</cp:lastModifiedBy>
  <dcterms:created xsi:type="dcterms:W3CDTF">2026-10-01T05:05:07Z</dcterms:created>
  <dcterms:modified xsi:type="dcterms:W3CDTF">2026-10-01T05:05:18Z</dcterms:modified>
</cp:coreProperties>
</file>